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ti/Downloads/GRF/GRF/"/>
    </mc:Choice>
  </mc:AlternateContent>
  <xr:revisionPtr revIDLastSave="0" documentId="13_ncr:1_{4BC56951-F01F-B84D-BA9E-FBC27ABF4685}" xr6:coauthVersionLast="36" xr6:coauthVersionMax="36" xr10:uidLastSave="{00000000-0000-0000-0000-000000000000}"/>
  <bookViews>
    <workbookView xWindow="0" yWindow="0" windowWidth="28800" windowHeight="18000" activeTab="4" xr2:uid="{00000000-000D-0000-FFFF-FFFF00000000}"/>
  </bookViews>
  <sheets>
    <sheet name="00_Introduccion" sheetId="1" r:id="rId1"/>
    <sheet name="Reglas_RW" sheetId="2" r:id="rId2"/>
    <sheet name="Base_Datos" sheetId="3" r:id="rId3"/>
    <sheet name="Hoja1" sheetId="5" r:id="rId4"/>
    <sheet name="Resumen" sheetId="4" r:id="rId5"/>
  </sheets>
  <definedNames>
    <definedName name="_xlnm._FilterDatabase" localSheetId="2" hidden="1">Base_Datos!$A$4:$N$24</definedName>
  </definedNames>
  <calcPr calcId="181029"/>
  <pivotCaches>
    <pivotCache cacheId="6" r:id="rId6"/>
  </pivotCaches>
</workbook>
</file>

<file path=xl/calcChain.xml><?xml version="1.0" encoding="utf-8"?>
<calcChain xmlns="http://schemas.openxmlformats.org/spreadsheetml/2006/main">
  <c r="B8" i="4" l="1"/>
  <c r="B5" i="4"/>
  <c r="N2" i="3"/>
  <c r="M2" i="3"/>
  <c r="N5" i="3"/>
  <c r="M5" i="3"/>
  <c r="L5" i="3"/>
  <c r="G5" i="3"/>
  <c r="H10" i="4" l="1"/>
  <c r="H9" i="4"/>
  <c r="H8" i="4"/>
  <c r="H7" i="4"/>
  <c r="H6" i="4"/>
  <c r="M20" i="3"/>
  <c r="N20" i="3" s="1"/>
  <c r="M12" i="3"/>
  <c r="N12" i="3" s="1"/>
  <c r="M9" i="3"/>
  <c r="N9" i="3" s="1"/>
  <c r="L23" i="3"/>
  <c r="L24" i="3"/>
  <c r="G24" i="3"/>
  <c r="M24" i="3" s="1"/>
  <c r="N24" i="3" s="1"/>
  <c r="G17" i="3"/>
  <c r="M17" i="3" s="1"/>
  <c r="N17" i="3" s="1"/>
  <c r="G20" i="3"/>
  <c r="G12" i="3"/>
  <c r="G14" i="3"/>
  <c r="M14" i="3" s="1"/>
  <c r="N14" i="3" s="1"/>
  <c r="G13" i="3"/>
  <c r="G15" i="3"/>
  <c r="G22" i="3"/>
  <c r="M22" i="3" s="1"/>
  <c r="N22" i="3" s="1"/>
  <c r="G18" i="3"/>
  <c r="G19" i="3"/>
  <c r="G6" i="3"/>
  <c r="G10" i="3"/>
  <c r="G7" i="3"/>
  <c r="G9" i="3"/>
  <c r="G8" i="3"/>
  <c r="G16" i="3"/>
  <c r="M16" i="3" s="1"/>
  <c r="N16" i="3" s="1"/>
  <c r="G11" i="3"/>
  <c r="M11" i="3" s="1"/>
  <c r="N11" i="3" s="1"/>
  <c r="G21" i="3"/>
  <c r="G23" i="3"/>
  <c r="M23" i="3" s="1"/>
  <c r="N23" i="3" s="1"/>
  <c r="L17" i="3"/>
  <c r="L20" i="3"/>
  <c r="L12" i="3"/>
  <c r="L14" i="3"/>
  <c r="L13" i="3"/>
  <c r="L15" i="3"/>
  <c r="L22" i="3"/>
  <c r="L18" i="3"/>
  <c r="L19" i="3"/>
  <c r="L6" i="3"/>
  <c r="L10" i="3"/>
  <c r="L7" i="3"/>
  <c r="L9" i="3"/>
  <c r="L8" i="3"/>
  <c r="L16" i="3"/>
  <c r="L11" i="3"/>
  <c r="L21" i="3"/>
  <c r="M7" i="3" l="1"/>
  <c r="N7" i="3" s="1"/>
  <c r="M8" i="3"/>
  <c r="N8" i="3" s="1"/>
  <c r="M21" i="3"/>
  <c r="N21" i="3" s="1"/>
  <c r="M6" i="3"/>
  <c r="M15" i="3"/>
  <c r="N15" i="3" s="1"/>
  <c r="M18" i="3"/>
  <c r="N18" i="3" s="1"/>
  <c r="M10" i="3"/>
  <c r="N10" i="3" s="1"/>
  <c r="M19" i="3"/>
  <c r="N19" i="3" s="1"/>
  <c r="M13" i="3"/>
  <c r="N13" i="3" s="1"/>
  <c r="N6" i="3"/>
  <c r="B7" i="4" s="1"/>
  <c r="B6" i="4" l="1"/>
</calcChain>
</file>

<file path=xl/sharedStrings.xml><?xml version="1.0" encoding="utf-8"?>
<sst xmlns="http://schemas.openxmlformats.org/spreadsheetml/2006/main" count="247" uniqueCount="141">
  <si>
    <t>Ejercicio completo de capital regulatorio por Método SA - CRR III</t>
  </si>
  <si>
    <t>Ejercicio didáctico con 20 clientes, EAD, asignación de RW, RWA y capital regulatorio total al 8%.</t>
  </si>
  <si>
    <t>Idea del ejercicio</t>
  </si>
  <si>
    <t>Notas metodológicas</t>
  </si>
  <si>
    <t>Fuentes oficiales de referencia</t>
  </si>
  <si>
    <t>Tabla de reglas de asignación de RW</t>
  </si>
  <si>
    <t>Regla</t>
  </si>
  <si>
    <t>RW</t>
  </si>
  <si>
    <t>Descripción</t>
  </si>
  <si>
    <t>INST_20</t>
  </si>
  <si>
    <t>CORP_100</t>
  </si>
  <si>
    <t>Exposición corporativa no garantizada</t>
  </si>
  <si>
    <t>RETAIL_75</t>
  </si>
  <si>
    <t>Retail elegible</t>
  </si>
  <si>
    <t>MORT_RES_35</t>
  </si>
  <si>
    <t>Hipoteca residencial elegible</t>
  </si>
  <si>
    <t>Hipoteca comercial elegible</t>
  </si>
  <si>
    <t>Hipoteca no elegible / artículo 124</t>
  </si>
  <si>
    <t>DEFAULT_150</t>
  </si>
  <si>
    <t>ADC_RES_150</t>
  </si>
  <si>
    <t>ADC residencial bajo CRR III</t>
  </si>
  <si>
    <t>Recordatorio</t>
  </si>
  <si>
    <t>Base de datos de clientes y cálculo de capital regulatorio (SA)</t>
  </si>
  <si>
    <t>Cliente</t>
  </si>
  <si>
    <t>Segmento</t>
  </si>
  <si>
    <t>Producto</t>
  </si>
  <si>
    <t>No dispuesto</t>
  </si>
  <si>
    <t>CCF</t>
  </si>
  <si>
    <t>EAD</t>
  </si>
  <si>
    <t>Estado</t>
  </si>
  <si>
    <t>Colateral</t>
  </si>
  <si>
    <t>Tipo exposición</t>
  </si>
  <si>
    <t>Regla RW</t>
  </si>
  <si>
    <t>RWA</t>
  </si>
  <si>
    <t>Capital 8%</t>
  </si>
  <si>
    <t>Cliente 01</t>
  </si>
  <si>
    <t>Soberano</t>
  </si>
  <si>
    <t>Bono del Estado</t>
  </si>
  <si>
    <t>Vigente</t>
  </si>
  <si>
    <t>N/A</t>
  </si>
  <si>
    <t>Cliente 02</t>
  </si>
  <si>
    <t>Letra del Tesoro</t>
  </si>
  <si>
    <t>Soberano / Banco central</t>
  </si>
  <si>
    <t>Cliente 03</t>
  </si>
  <si>
    <t>Institución</t>
  </si>
  <si>
    <t>Depósito a plazo 1 mes</t>
  </si>
  <si>
    <t>Cliente 04</t>
  </si>
  <si>
    <t>Cuenta a la vista remunerada</t>
  </si>
  <si>
    <t>Cliente 05</t>
  </si>
  <si>
    <t>Corporates</t>
  </si>
  <si>
    <t>Préstamo bilateral</t>
  </si>
  <si>
    <t>Sin garantía real</t>
  </si>
  <si>
    <t>Cliente 06</t>
  </si>
  <si>
    <t>SME</t>
  </si>
  <si>
    <t>Línea de circulante</t>
  </si>
  <si>
    <t>Cliente 07</t>
  </si>
  <si>
    <t>Préstamo inversión</t>
  </si>
  <si>
    <t>Cliente 08</t>
  </si>
  <si>
    <t>Préstamo con mora &gt;90 días</t>
  </si>
  <si>
    <t>Default</t>
  </si>
  <si>
    <t>Exposiciones en default</t>
  </si>
  <si>
    <t>Cliente 09</t>
  </si>
  <si>
    <t>Retail</t>
  </si>
  <si>
    <t>Préstamo personal</t>
  </si>
  <si>
    <t>Cliente 10</t>
  </si>
  <si>
    <t>Tarjeta de crédito</t>
  </si>
  <si>
    <t>Cliente 11</t>
  </si>
  <si>
    <t>Descubierto autorizado</t>
  </si>
  <si>
    <t>Cliente 12</t>
  </si>
  <si>
    <t>Hipoteca residencial</t>
  </si>
  <si>
    <t>Vivienda habitual</t>
  </si>
  <si>
    <t>Inmueble residencial</t>
  </si>
  <si>
    <t>Cliente 13</t>
  </si>
  <si>
    <t>Segunda residencia</t>
  </si>
  <si>
    <t>Cliente 14</t>
  </si>
  <si>
    <t>ADC residencial</t>
  </si>
  <si>
    <t>Promoción en construcción</t>
  </si>
  <si>
    <t>Proyecto en construcción</t>
  </si>
  <si>
    <t>Cliente 15</t>
  </si>
  <si>
    <t>Hipoteca comercial</t>
  </si>
  <si>
    <t>Oficinas</t>
  </si>
  <si>
    <t>Inmueble comercial</t>
  </si>
  <si>
    <t>Cliente 16</t>
  </si>
  <si>
    <t>Nave logística</t>
  </si>
  <si>
    <t>Cliente 17</t>
  </si>
  <si>
    <t>Hipoteca no elegible</t>
  </si>
  <si>
    <t>Suelo con garantía parcial</t>
  </si>
  <si>
    <t>Garantía no elegible</t>
  </si>
  <si>
    <t>Inmueble no elegible</t>
  </si>
  <si>
    <t>Cliente 18</t>
  </si>
  <si>
    <t>Retail en default</t>
  </si>
  <si>
    <t>Préstamo al consumo en mora</t>
  </si>
  <si>
    <t>Cliente 19</t>
  </si>
  <si>
    <t>Aval financiero</t>
  </si>
  <si>
    <t>Cliente 20</t>
  </si>
  <si>
    <t>Línea de reforma vivienda</t>
  </si>
  <si>
    <t>Resumen del ejercicio</t>
  </si>
  <si>
    <t>Los importes agregados se calculan a partir de la base y permiten verificar el impacto total del método SA.</t>
  </si>
  <si>
    <t>Indicador</t>
  </si>
  <si>
    <t>Valor</t>
  </si>
  <si>
    <t>EAD total</t>
  </si>
  <si>
    <t>RWA total</t>
  </si>
  <si>
    <t>Capital regulatorio 8%</t>
  </si>
  <si>
    <t>Top 5 por RWA</t>
  </si>
  <si>
    <t>Lectura del resultado</t>
  </si>
  <si>
    <t>Soberanos / banco central con tratamiento 0% pertenecientes a ECB</t>
  </si>
  <si>
    <t>Soberanos / banco central: Asignación según calidad crediticia (CQS) basada en ratings ECAI conforme tablas CRR III</t>
  </si>
  <si>
    <t>20%-50%</t>
  </si>
  <si>
    <t>Dispuesto</t>
  </si>
  <si>
    <t>SOBERANO_UE</t>
  </si>
  <si>
    <t>SOBERANOS_ECAI</t>
  </si>
  <si>
    <t>Exposición a institución con ECAI y Credit Quality Step = 1</t>
  </si>
  <si>
    <t>MORT_COMM_60</t>
  </si>
  <si>
    <t>MORT_IPRE</t>
  </si>
  <si>
    <t>Exposición en default general</t>
  </si>
  <si>
    <t xml:space="preserve">Importes en EUR millones. </t>
  </si>
  <si>
    <t>RWA Total</t>
  </si>
  <si>
    <t>Esta tabla es la base de la lógica de asignación del RW. La columna K de la Base_Datos contiene el código de regla, la columna L recupera el RW mediante VLOOKUP</t>
  </si>
  <si>
    <t>Se da una base de datos con soberanos, instituciones, corporates, retail, hipotecas, default y un caso ADC residencial.
La lógica de cálculo es: EAD = importe dispupesto + importe no dispuesto x CCF; RWA = EAD x RW; capital regulatorio total = RWA x 8%.
Los RW se asignan con una tabla de reglas en la hoja Reglas_RW, para que el ejercicio sea auditable y fácil de explicar.</t>
  </si>
  <si>
    <t>1) El ejercicio usa categorías SA habituales del CRR: corporates, retail, inmuebles residenciales/comerciales, default y ADC residencial.
2) Para simplificar el aprendizaje, algunas decisiones nacionales o matices de elegibilidad no se desarrollan en profundidad; cuando una condición no se cumple, se usa el RW estándar  del bloque.
3) El capital regulatorio se muestra con el ratio mínimo del 8% del artículo 92.</t>
  </si>
  <si>
    <t>CRR III, PART THREE-CAPITAL REQUIREMENTS, TITLE II - CAPITAL REQUIEREMENTS FOR CREDIT RISK, CHAPTER 2 - Stadarised approach</t>
  </si>
  <si>
    <t>https://judict.eu/en/hla/32013R0575-X/article-114</t>
  </si>
  <si>
    <t>Articles 114-134</t>
  </si>
  <si>
    <t xml:space="preserve">FORMULA </t>
  </si>
  <si>
    <t>EAD_i*RW_i = RWA_i</t>
  </si>
  <si>
    <t>dispuesto</t>
  </si>
  <si>
    <t xml:space="preserve">en caso prestamo el dispuesto es todo </t>
  </si>
  <si>
    <t xml:space="preserve">dispuesto en tarjetas </t>
  </si>
  <si>
    <t xml:space="preserve">no dispuesto </t>
  </si>
  <si>
    <t xml:space="preserve">tengo garantia ? </t>
  </si>
  <si>
    <t>EAD_i(EAD = DISP+[NO DISPUESTO*CCF]*RW_i= RWA_i</t>
  </si>
  <si>
    <t>Capital</t>
  </si>
  <si>
    <t xml:space="preserve">RW medio ponderado </t>
  </si>
  <si>
    <t>Etiquetas de fila</t>
  </si>
  <si>
    <t>Total general</t>
  </si>
  <si>
    <t>Etiquetas de columna</t>
  </si>
  <si>
    <t>Cuenta de Cliente</t>
  </si>
  <si>
    <t>DISP +  NODISP*CCF</t>
  </si>
  <si>
    <t>BUSCRLO E LA TAL DE REGLAS_RW</t>
  </si>
  <si>
    <t>EAD*RW</t>
  </si>
  <si>
    <t>8% DE 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</si>
</sst>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4" fontId="3" fillId="0" borderId="1" xfId="0" applyNumberFormat="1" applyFont="1" applyBorder="1"/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9" fontId="4" fillId="0" borderId="1" xfId="0" applyNumberFormat="1" applyFont="1" applyBorder="1" applyAlignment="1">
      <alignment vertical="top"/>
    </xf>
    <xf numFmtId="9" fontId="4" fillId="0" borderId="1" xfId="0" applyNumberFormat="1" applyFont="1" applyBorder="1" applyAlignment="1">
      <alignment horizontal="right" vertical="top"/>
    </xf>
    <xf numFmtId="0" fontId="6" fillId="0" borderId="0" xfId="1" applyAlignment="1"/>
    <xf numFmtId="0" fontId="0" fillId="0" borderId="0" xfId="0" applyAlignment="1"/>
    <xf numFmtId="0" fontId="0" fillId="6" borderId="0" xfId="0" applyFill="1"/>
    <xf numFmtId="0" fontId="0" fillId="7" borderId="0" xfId="0" applyFill="1"/>
    <xf numFmtId="4" fontId="0" fillId="0" borderId="0" xfId="0" applyNumberFormat="1"/>
    <xf numFmtId="0" fontId="5" fillId="5" borderId="0" xfId="0" applyFont="1" applyFill="1"/>
    <xf numFmtId="0" fontId="5" fillId="4" borderId="0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7" fillId="0" borderId="0" xfId="0" applyNumberFormat="1" applyFo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vertical="top"/>
    </xf>
    <xf numFmtId="9" fontId="4" fillId="0" borderId="0" xfId="0" applyNumberFormat="1" applyFont="1" applyBorder="1" applyAlignment="1">
      <alignment vertical="top"/>
    </xf>
    <xf numFmtId="4" fontId="4" fillId="0" borderId="0" xfId="0" applyNumberFormat="1" applyFont="1" applyBorder="1" applyAlignment="1">
      <alignment vertical="top"/>
    </xf>
  </cellXfs>
  <cellStyles count="2">
    <cellStyle name="Hipervínculo" xfId="1" builtinId="8"/>
    <cellStyle name="Normal" xfId="0" builtinId="0"/>
  </cellStyles>
  <dxfs count="1"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522891302956056E-2"/>
          <c:y val="4.4892319140895337E-2"/>
          <c:w val="0.945322125145175"/>
          <c:h val="0.8886018847397005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Base_Datos!$M$4</c:f>
              <c:strCache>
                <c:ptCount val="1"/>
                <c:pt idx="0">
                  <c:v>RWA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Base_Datos!$A$5:$A$24</c:f>
              <c:strCache>
                <c:ptCount val="20"/>
                <c:pt idx="0">
                  <c:v>Cliente 15</c:v>
                </c:pt>
                <c:pt idx="1">
                  <c:v>Cliente 12</c:v>
                </c:pt>
                <c:pt idx="2">
                  <c:v>Cliente 14</c:v>
                </c:pt>
                <c:pt idx="3">
                  <c:v>Cliente 17</c:v>
                </c:pt>
                <c:pt idx="4">
                  <c:v>Cliente 16</c:v>
                </c:pt>
                <c:pt idx="5">
                  <c:v>Cliente 13</c:v>
                </c:pt>
                <c:pt idx="6">
                  <c:v>Cliente 19</c:v>
                </c:pt>
                <c:pt idx="7">
                  <c:v>Cliente 05</c:v>
                </c:pt>
                <c:pt idx="8">
                  <c:v>Cliente 07</c:v>
                </c:pt>
                <c:pt idx="9">
                  <c:v>Cliente 06</c:v>
                </c:pt>
                <c:pt idx="10">
                  <c:v>Cliente 08</c:v>
                </c:pt>
                <c:pt idx="11">
                  <c:v>Cliente 18</c:v>
                </c:pt>
                <c:pt idx="12">
                  <c:v>Cliente 03</c:v>
                </c:pt>
                <c:pt idx="13">
                  <c:v>Cliente 10</c:v>
                </c:pt>
                <c:pt idx="14">
                  <c:v>Cliente 11</c:v>
                </c:pt>
                <c:pt idx="15">
                  <c:v>Cliente 04</c:v>
                </c:pt>
                <c:pt idx="16">
                  <c:v>Cliente 20</c:v>
                </c:pt>
                <c:pt idx="17">
                  <c:v>Cliente 09</c:v>
                </c:pt>
                <c:pt idx="18">
                  <c:v>Cliente 01</c:v>
                </c:pt>
                <c:pt idx="19">
                  <c:v>Cliente 02</c:v>
                </c:pt>
              </c:strCache>
            </c:strRef>
          </c:cat>
          <c:val>
            <c:numRef>
              <c:f>Base_Datos!$M$5:$M$24</c:f>
              <c:numCache>
                <c:formatCode>#,##0.00</c:formatCode>
                <c:ptCount val="20"/>
                <c:pt idx="0">
                  <c:v>72</c:v>
                </c:pt>
                <c:pt idx="1">
                  <c:v>62.999999999999993</c:v>
                </c:pt>
                <c:pt idx="2">
                  <c:v>60</c:v>
                </c:pt>
                <c:pt idx="3">
                  <c:v>45</c:v>
                </c:pt>
                <c:pt idx="4">
                  <c:v>42</c:v>
                </c:pt>
                <c:pt idx="5">
                  <c:v>33.25</c:v>
                </c:pt>
                <c:pt idx="6">
                  <c:v>12</c:v>
                </c:pt>
                <c:pt idx="7">
                  <c:v>8</c:v>
                </c:pt>
                <c:pt idx="8">
                  <c:v>6.5</c:v>
                </c:pt>
                <c:pt idx="9">
                  <c:v>4.1000000000000005</c:v>
                </c:pt>
                <c:pt idx="10">
                  <c:v>3.5999999999999996</c:v>
                </c:pt>
                <c:pt idx="11">
                  <c:v>2.7</c:v>
                </c:pt>
                <c:pt idx="12">
                  <c:v>2</c:v>
                </c:pt>
                <c:pt idx="13">
                  <c:v>1.7999999999999998</c:v>
                </c:pt>
                <c:pt idx="14">
                  <c:v>1.2937500000000002</c:v>
                </c:pt>
                <c:pt idx="15">
                  <c:v>1.2000000000000002</c:v>
                </c:pt>
                <c:pt idx="16">
                  <c:v>1.2000000000000002</c:v>
                </c:pt>
                <c:pt idx="17">
                  <c:v>0.82500000000000007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3-470A-9C03-2A6CCC39DE45}"/>
            </c:ext>
          </c:extLst>
        </c:ser>
        <c:ser>
          <c:idx val="2"/>
          <c:order val="2"/>
          <c:tx>
            <c:strRef>
              <c:f>Base_Datos!$N$4</c:f>
              <c:strCache>
                <c:ptCount val="1"/>
                <c:pt idx="0">
                  <c:v>Capital 8%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Base_Datos!$A$5:$A$24</c:f>
              <c:strCache>
                <c:ptCount val="20"/>
                <c:pt idx="0">
                  <c:v>Cliente 15</c:v>
                </c:pt>
                <c:pt idx="1">
                  <c:v>Cliente 12</c:v>
                </c:pt>
                <c:pt idx="2">
                  <c:v>Cliente 14</c:v>
                </c:pt>
                <c:pt idx="3">
                  <c:v>Cliente 17</c:v>
                </c:pt>
                <c:pt idx="4">
                  <c:v>Cliente 16</c:v>
                </c:pt>
                <c:pt idx="5">
                  <c:v>Cliente 13</c:v>
                </c:pt>
                <c:pt idx="6">
                  <c:v>Cliente 19</c:v>
                </c:pt>
                <c:pt idx="7">
                  <c:v>Cliente 05</c:v>
                </c:pt>
                <c:pt idx="8">
                  <c:v>Cliente 07</c:v>
                </c:pt>
                <c:pt idx="9">
                  <c:v>Cliente 06</c:v>
                </c:pt>
                <c:pt idx="10">
                  <c:v>Cliente 08</c:v>
                </c:pt>
                <c:pt idx="11">
                  <c:v>Cliente 18</c:v>
                </c:pt>
                <c:pt idx="12">
                  <c:v>Cliente 03</c:v>
                </c:pt>
                <c:pt idx="13">
                  <c:v>Cliente 10</c:v>
                </c:pt>
                <c:pt idx="14">
                  <c:v>Cliente 11</c:v>
                </c:pt>
                <c:pt idx="15">
                  <c:v>Cliente 04</c:v>
                </c:pt>
                <c:pt idx="16">
                  <c:v>Cliente 20</c:v>
                </c:pt>
                <c:pt idx="17">
                  <c:v>Cliente 09</c:v>
                </c:pt>
                <c:pt idx="18">
                  <c:v>Cliente 01</c:v>
                </c:pt>
                <c:pt idx="19">
                  <c:v>Cliente 02</c:v>
                </c:pt>
              </c:strCache>
            </c:strRef>
          </c:cat>
          <c:val>
            <c:numRef>
              <c:f>Base_Datos!$N$5:$N$24</c:f>
              <c:numCache>
                <c:formatCode>#,##0.00</c:formatCode>
                <c:ptCount val="20"/>
                <c:pt idx="0">
                  <c:v>5.76</c:v>
                </c:pt>
                <c:pt idx="1">
                  <c:v>5.0399999999999991</c:v>
                </c:pt>
                <c:pt idx="2">
                  <c:v>4.8</c:v>
                </c:pt>
                <c:pt idx="3">
                  <c:v>3.6</c:v>
                </c:pt>
                <c:pt idx="4">
                  <c:v>3.36</c:v>
                </c:pt>
                <c:pt idx="5">
                  <c:v>2.66</c:v>
                </c:pt>
                <c:pt idx="6">
                  <c:v>0.96</c:v>
                </c:pt>
                <c:pt idx="7">
                  <c:v>0.64</c:v>
                </c:pt>
                <c:pt idx="8">
                  <c:v>0.52</c:v>
                </c:pt>
                <c:pt idx="9">
                  <c:v>0.32800000000000007</c:v>
                </c:pt>
                <c:pt idx="10">
                  <c:v>0.28799999999999998</c:v>
                </c:pt>
                <c:pt idx="11">
                  <c:v>0.21600000000000003</c:v>
                </c:pt>
                <c:pt idx="12">
                  <c:v>0.16</c:v>
                </c:pt>
                <c:pt idx="13">
                  <c:v>0.14399999999999999</c:v>
                </c:pt>
                <c:pt idx="14">
                  <c:v>0.10350000000000001</c:v>
                </c:pt>
                <c:pt idx="15">
                  <c:v>9.6000000000000016E-2</c:v>
                </c:pt>
                <c:pt idx="16">
                  <c:v>9.6000000000000016E-2</c:v>
                </c:pt>
                <c:pt idx="17">
                  <c:v>6.6000000000000003E-2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3-470A-9C03-2A6CCC39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503776"/>
        <c:axId val="428507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Base_Datos!$L$4</c15:sqref>
                        </c15:formulaRef>
                      </c:ext>
                    </c:extLst>
                    <c:strCache>
                      <c:ptCount val="1"/>
                      <c:pt idx="0">
                        <c:v>RW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Base_Datos!$A$5:$A$24</c15:sqref>
                        </c15:formulaRef>
                      </c:ext>
                    </c:extLst>
                    <c:strCache>
                      <c:ptCount val="20"/>
                      <c:pt idx="0">
                        <c:v>Cliente 15</c:v>
                      </c:pt>
                      <c:pt idx="1">
                        <c:v>Cliente 12</c:v>
                      </c:pt>
                      <c:pt idx="2">
                        <c:v>Cliente 14</c:v>
                      </c:pt>
                      <c:pt idx="3">
                        <c:v>Cliente 17</c:v>
                      </c:pt>
                      <c:pt idx="4">
                        <c:v>Cliente 16</c:v>
                      </c:pt>
                      <c:pt idx="5">
                        <c:v>Cliente 13</c:v>
                      </c:pt>
                      <c:pt idx="6">
                        <c:v>Cliente 19</c:v>
                      </c:pt>
                      <c:pt idx="7">
                        <c:v>Cliente 05</c:v>
                      </c:pt>
                      <c:pt idx="8">
                        <c:v>Cliente 07</c:v>
                      </c:pt>
                      <c:pt idx="9">
                        <c:v>Cliente 06</c:v>
                      </c:pt>
                      <c:pt idx="10">
                        <c:v>Cliente 08</c:v>
                      </c:pt>
                      <c:pt idx="11">
                        <c:v>Cliente 18</c:v>
                      </c:pt>
                      <c:pt idx="12">
                        <c:v>Cliente 03</c:v>
                      </c:pt>
                      <c:pt idx="13">
                        <c:v>Cliente 10</c:v>
                      </c:pt>
                      <c:pt idx="14">
                        <c:v>Cliente 11</c:v>
                      </c:pt>
                      <c:pt idx="15">
                        <c:v>Cliente 04</c:v>
                      </c:pt>
                      <c:pt idx="16">
                        <c:v>Cliente 20</c:v>
                      </c:pt>
                      <c:pt idx="17">
                        <c:v>Cliente 09</c:v>
                      </c:pt>
                      <c:pt idx="18">
                        <c:v>Cliente 01</c:v>
                      </c:pt>
                      <c:pt idx="19">
                        <c:v>Cliente 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Base_Datos!$L$5:$L$24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0.6</c:v>
                      </c:pt>
                      <c:pt idx="1">
                        <c:v>0.35</c:v>
                      </c:pt>
                      <c:pt idx="2">
                        <c:v>1.5</c:v>
                      </c:pt>
                      <c:pt idx="3">
                        <c:v>1.5</c:v>
                      </c:pt>
                      <c:pt idx="4">
                        <c:v>0.6</c:v>
                      </c:pt>
                      <c:pt idx="5">
                        <c:v>0.35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0.2</c:v>
                      </c:pt>
                      <c:pt idx="13">
                        <c:v>0.75</c:v>
                      </c:pt>
                      <c:pt idx="14">
                        <c:v>0.75</c:v>
                      </c:pt>
                      <c:pt idx="15">
                        <c:v>0.2</c:v>
                      </c:pt>
                      <c:pt idx="16">
                        <c:v>0.75</c:v>
                      </c:pt>
                      <c:pt idx="17">
                        <c:v>0.75</c:v>
                      </c:pt>
                      <c:pt idx="18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F53-470A-9C03-2A6CCC39DE45}"/>
                  </c:ext>
                </c:extLst>
              </c15:ser>
            </c15:filteredBarSeries>
          </c:ext>
        </c:extLst>
      </c:barChart>
      <c:catAx>
        <c:axId val="4285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428507520"/>
        <c:crosses val="autoZero"/>
        <c:auto val="1"/>
        <c:lblAlgn val="ctr"/>
        <c:lblOffset val="100"/>
        <c:noMultiLvlLbl val="0"/>
      </c:catAx>
      <c:valAx>
        <c:axId val="4285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42850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284513</xdr:colOff>
      <xdr:row>5</xdr:row>
      <xdr:rowOff>284520</xdr:rowOff>
    </xdr:from>
    <xdr:to>
      <xdr:col>35</xdr:col>
      <xdr:colOff>0</xdr:colOff>
      <xdr:row>20</xdr:row>
      <xdr:rowOff>296883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319" refreshedDate="46141.862810069448" createdVersion="6" refreshedVersion="6" minRefreshableVersion="3" recordCount="20" xr:uid="{00000000-000A-0000-FFFF-FFFF05000000}">
  <cacheSource type="worksheet">
    <worksheetSource ref="A4:N24" sheet="Base_Datos"/>
  </cacheSource>
  <cacheFields count="14">
    <cacheField name="Cliente" numFmtId="0">
      <sharedItems count="20">
        <s v="Cliente 01"/>
        <s v="Cliente 02"/>
        <s v="Cliente 03"/>
        <s v="Cliente 04"/>
        <s v="Cliente 05"/>
        <s v="Cliente 06"/>
        <s v="Cliente 07"/>
        <s v="Cliente 08"/>
        <s v="Cliente 09"/>
        <s v="Cliente 10"/>
        <s v="Cliente 11"/>
        <s v="Cliente 12"/>
        <s v="Cliente 13"/>
        <s v="Cliente 14"/>
        <s v="Cliente 15"/>
        <s v="Cliente 16"/>
        <s v="Cliente 17"/>
        <s v="Cliente 18"/>
        <s v="Cliente 19"/>
        <s v="Cliente 20"/>
      </sharedItems>
    </cacheField>
    <cacheField name="Segmento" numFmtId="0">
      <sharedItems count="10">
        <s v="Soberano"/>
        <s v="Institución"/>
        <s v="Corporates"/>
        <s v="SME"/>
        <s v="Retail"/>
        <s v="Hipoteca residencial"/>
        <s v="ADC residencial"/>
        <s v="Hipoteca comercial"/>
        <s v="Hipoteca no elegible"/>
        <s v="Retail en default"/>
      </sharedItems>
    </cacheField>
    <cacheField name="Producto" numFmtId="0">
      <sharedItems/>
    </cacheField>
    <cacheField name="Dispuesto" numFmtId="4">
      <sharedItems containsSemiMixedTypes="0" containsString="0" containsNumber="1" minValue="0" maxValue="180"/>
    </cacheField>
    <cacheField name="No dispuesto" numFmtId="4">
      <sharedItems containsSemiMixedTypes="0" containsString="0" containsNumber="1" minValue="0" maxValue="12"/>
    </cacheField>
    <cacheField name="CCF" numFmtId="9">
      <sharedItems containsSemiMixedTypes="0" containsString="0" containsNumber="1" minValue="0" maxValue="1"/>
    </cacheField>
    <cacheField name="EAD" numFmtId="4">
      <sharedItems containsSemiMixedTypes="0" containsString="0" containsNumber="1" minValue="1.1000000000000001" maxValue="180"/>
    </cacheField>
    <cacheField name="Estado" numFmtId="0">
      <sharedItems/>
    </cacheField>
    <cacheField name="Colateral" numFmtId="0">
      <sharedItems/>
    </cacheField>
    <cacheField name="Tipo exposición" numFmtId="0">
      <sharedItems/>
    </cacheField>
    <cacheField name="Regla RW" numFmtId="0">
      <sharedItems/>
    </cacheField>
    <cacheField name="RW" numFmtId="9">
      <sharedItems containsSemiMixedTypes="0" containsString="0" containsNumber="1" minValue="0" maxValue="1.5" count="7">
        <n v="0"/>
        <n v="0.2"/>
        <n v="1"/>
        <n v="1.5"/>
        <n v="0.75"/>
        <n v="0.35"/>
        <n v="0.6"/>
      </sharedItems>
    </cacheField>
    <cacheField name="RWA" numFmtId="4">
      <sharedItems containsSemiMixedTypes="0" containsString="0" containsNumber="1" minValue="0" maxValue="72" count="18">
        <n v="0"/>
        <n v="2"/>
        <n v="1.2000000000000002"/>
        <n v="8"/>
        <n v="4.1000000000000005"/>
        <n v="6.5"/>
        <n v="3.5999999999999996"/>
        <n v="0.82500000000000007"/>
        <n v="1.7999999999999998"/>
        <n v="1.2937500000000002"/>
        <n v="62.999999999999993"/>
        <n v="33.25"/>
        <n v="60"/>
        <n v="72"/>
        <n v="42"/>
        <n v="45"/>
        <n v="2.7"/>
        <n v="12"/>
      </sharedItems>
    </cacheField>
    <cacheField name="Capital 8%" numFmtId="4">
      <sharedItems containsSemiMixedTypes="0" containsString="0" containsNumber="1" minValue="0" maxValue="5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s v="Bono del Estado"/>
    <n v="25"/>
    <n v="0"/>
    <n v="0"/>
    <n v="25"/>
    <s v="Vigente"/>
    <s v="N/A"/>
    <s v="Soberano / Banco central"/>
    <s v="SOBERANO_UE"/>
    <x v="0"/>
    <x v="0"/>
    <n v="0"/>
  </r>
  <r>
    <x v="1"/>
    <x v="0"/>
    <s v="Letra del Tesoro"/>
    <n v="15"/>
    <n v="0"/>
    <n v="0"/>
    <n v="15"/>
    <s v="Vigente"/>
    <s v="N/A"/>
    <s v="Soberano / Banco central"/>
    <s v="SOBERANO_UE"/>
    <x v="0"/>
    <x v="0"/>
    <n v="0"/>
  </r>
  <r>
    <x v="2"/>
    <x v="1"/>
    <s v="Depósito a plazo 1 mes"/>
    <n v="10"/>
    <n v="0"/>
    <n v="0"/>
    <n v="10"/>
    <s v="Vigente"/>
    <s v="N/A"/>
    <s v="Institución"/>
    <s v="INST_20"/>
    <x v="1"/>
    <x v="1"/>
    <n v="0.16"/>
  </r>
  <r>
    <x v="3"/>
    <x v="1"/>
    <s v="Cuenta a la vista remunerada"/>
    <n v="6"/>
    <n v="0"/>
    <n v="0"/>
    <n v="6"/>
    <s v="Vigente"/>
    <s v="N/A"/>
    <s v="Institución"/>
    <s v="INST_20"/>
    <x v="1"/>
    <x v="2"/>
    <n v="9.6000000000000016E-2"/>
  </r>
  <r>
    <x v="4"/>
    <x v="2"/>
    <s v="Préstamo bilateral"/>
    <n v="8"/>
    <n v="0"/>
    <n v="0"/>
    <n v="8"/>
    <s v="Vigente"/>
    <s v="Sin garantía real"/>
    <s v="Corporates"/>
    <s v="CORP_100"/>
    <x v="2"/>
    <x v="3"/>
    <n v="0.64"/>
  </r>
  <r>
    <x v="5"/>
    <x v="3"/>
    <s v="Línea de circulante"/>
    <n v="3.2"/>
    <n v="1.8"/>
    <n v="0.5"/>
    <n v="4.1000000000000005"/>
    <s v="Vigente"/>
    <s v="Sin garantía real"/>
    <s v="Corporates"/>
    <s v="CORP_100"/>
    <x v="2"/>
    <x v="4"/>
    <n v="0.32800000000000007"/>
  </r>
  <r>
    <x v="6"/>
    <x v="2"/>
    <s v="Préstamo inversión"/>
    <n v="6.5"/>
    <n v="0"/>
    <n v="0"/>
    <n v="6.5"/>
    <s v="Vigente"/>
    <s v="Sin garantía real"/>
    <s v="Corporates"/>
    <s v="CORP_100"/>
    <x v="2"/>
    <x v="5"/>
    <n v="0.52"/>
  </r>
  <r>
    <x v="7"/>
    <x v="2"/>
    <s v="Préstamo con mora &gt;90 días"/>
    <n v="2.4"/>
    <n v="0"/>
    <n v="0"/>
    <n v="2.4"/>
    <s v="Default"/>
    <s v="Sin garantía real"/>
    <s v="Exposiciones en default"/>
    <s v="DEFAULT_150"/>
    <x v="3"/>
    <x v="6"/>
    <n v="0.28799999999999998"/>
  </r>
  <r>
    <x v="8"/>
    <x v="4"/>
    <s v="Préstamo personal"/>
    <n v="1.1000000000000001"/>
    <n v="0"/>
    <n v="0"/>
    <n v="1.1000000000000001"/>
    <s v="Vigente"/>
    <s v="N/A"/>
    <s v="Retail"/>
    <s v="RETAIL_75"/>
    <x v="4"/>
    <x v="7"/>
    <n v="6.6000000000000003E-2"/>
  </r>
  <r>
    <x v="9"/>
    <x v="4"/>
    <s v="Tarjeta de crédito"/>
    <n v="0.6"/>
    <n v="2.4"/>
    <n v="0.75"/>
    <n v="2.4"/>
    <s v="Vigente"/>
    <s v="N/A"/>
    <s v="Retail"/>
    <s v="RETAIL_75"/>
    <x v="4"/>
    <x v="8"/>
    <n v="0.14399999999999999"/>
  </r>
  <r>
    <x v="10"/>
    <x v="4"/>
    <s v="Descubierto autorizado"/>
    <n v="0.9"/>
    <n v="1.1000000000000001"/>
    <n v="0.75"/>
    <n v="1.7250000000000001"/>
    <s v="Vigente"/>
    <s v="N/A"/>
    <s v="Retail"/>
    <s v="RETAIL_75"/>
    <x v="4"/>
    <x v="9"/>
    <n v="0.10350000000000001"/>
  </r>
  <r>
    <x v="11"/>
    <x v="5"/>
    <s v="Vivienda habitual"/>
    <n v="180"/>
    <n v="0"/>
    <n v="0"/>
    <n v="180"/>
    <s v="Vigente"/>
    <s v="Hipoteca residencial"/>
    <s v="Inmueble residencial"/>
    <s v="MORT_RES_35"/>
    <x v="5"/>
    <x v="10"/>
    <n v="5.0399999999999991"/>
  </r>
  <r>
    <x v="12"/>
    <x v="5"/>
    <s v="Segunda residencia"/>
    <n v="95"/>
    <n v="0"/>
    <n v="0"/>
    <n v="95"/>
    <s v="Vigente"/>
    <s v="Hipoteca residencial"/>
    <s v="Inmueble residencial"/>
    <s v="MORT_RES_35"/>
    <x v="5"/>
    <x v="11"/>
    <n v="2.66"/>
  </r>
  <r>
    <x v="13"/>
    <x v="6"/>
    <s v="Promoción en construcción"/>
    <n v="40"/>
    <n v="0"/>
    <n v="0"/>
    <n v="40"/>
    <s v="Vigente"/>
    <s v="Proyecto en construcción"/>
    <s v="ADC residencial"/>
    <s v="ADC_RES_150"/>
    <x v="3"/>
    <x v="12"/>
    <n v="4.8"/>
  </r>
  <r>
    <x v="14"/>
    <x v="7"/>
    <s v="Oficinas"/>
    <n v="120"/>
    <n v="0"/>
    <n v="0"/>
    <n v="120"/>
    <s v="Vigente"/>
    <s v="Hipoteca comercial"/>
    <s v="Inmueble comercial"/>
    <s v="MORT_COMM_60"/>
    <x v="6"/>
    <x v="13"/>
    <n v="5.76"/>
  </r>
  <r>
    <x v="15"/>
    <x v="7"/>
    <s v="Nave logística"/>
    <n v="70"/>
    <n v="0"/>
    <n v="0"/>
    <n v="70"/>
    <s v="Vigente"/>
    <s v="Hipoteca comercial"/>
    <s v="Inmueble comercial"/>
    <s v="MORT_COMM_60"/>
    <x v="6"/>
    <x v="14"/>
    <n v="3.36"/>
  </r>
  <r>
    <x v="16"/>
    <x v="8"/>
    <s v="Suelo con garantía parcial"/>
    <n v="30"/>
    <n v="0"/>
    <n v="0"/>
    <n v="30"/>
    <s v="Vigente"/>
    <s v="Garantía no elegible"/>
    <s v="Inmueble no elegible"/>
    <s v="MORT_IPRE"/>
    <x v="3"/>
    <x v="15"/>
    <n v="3.6"/>
  </r>
  <r>
    <x v="17"/>
    <x v="9"/>
    <s v="Préstamo al consumo en mora"/>
    <n v="1.8"/>
    <n v="0"/>
    <n v="0"/>
    <n v="1.8"/>
    <s v="Default"/>
    <s v="Sin garantía real"/>
    <s v="Exposiciones en default"/>
    <s v="DEFAULT_150"/>
    <x v="3"/>
    <x v="16"/>
    <n v="0.21600000000000003"/>
  </r>
  <r>
    <x v="18"/>
    <x v="2"/>
    <s v="Aval financiero"/>
    <n v="0"/>
    <n v="12"/>
    <n v="1"/>
    <n v="12"/>
    <s v="Vigente"/>
    <s v="N/A"/>
    <s v="Corporates"/>
    <s v="CORP_100"/>
    <x v="2"/>
    <x v="17"/>
    <n v="0.96"/>
  </r>
  <r>
    <x v="19"/>
    <x v="4"/>
    <s v="Línea de reforma vivienda"/>
    <n v="0.4"/>
    <n v="1.6"/>
    <n v="0.75"/>
    <n v="1.6"/>
    <s v="Vigente"/>
    <s v="N/A"/>
    <s v="Retail"/>
    <s v="RETAIL_75"/>
    <x v="4"/>
    <x v="2"/>
    <n v="9.600000000000001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I15" firstHeaderRow="1" firstDataRow="2" firstDataCol="1"/>
  <pivotFields count="14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11">
        <item x="6"/>
        <item x="2"/>
        <item x="7"/>
        <item x="8"/>
        <item x="5"/>
        <item x="1"/>
        <item x="4"/>
        <item x="9"/>
        <item x="3"/>
        <item x="0"/>
        <item t="default"/>
      </items>
    </pivotField>
    <pivotField showAll="0"/>
    <pivotField numFmtId="4" showAll="0"/>
    <pivotField numFmtId="4" showAll="0"/>
    <pivotField numFmtId="9" showAll="0"/>
    <pivotField numFmtId="4" showAll="0"/>
    <pivotField showAll="0"/>
    <pivotField showAll="0"/>
    <pivotField showAll="0"/>
    <pivotField showAll="0"/>
    <pivotField axis="axisCol" numFmtId="9" showAll="0">
      <items count="8">
        <item x="0"/>
        <item x="1"/>
        <item x="5"/>
        <item x="6"/>
        <item x="4"/>
        <item x="2"/>
        <item x="3"/>
        <item t="default"/>
      </items>
    </pivotField>
    <pivotField numFmtId="4" showAll="0">
      <items count="19">
        <item x="0"/>
        <item x="7"/>
        <item x="2"/>
        <item x="9"/>
        <item x="8"/>
        <item x="1"/>
        <item x="16"/>
        <item x="6"/>
        <item x="4"/>
        <item x="5"/>
        <item x="3"/>
        <item x="17"/>
        <item x="11"/>
        <item x="14"/>
        <item x="15"/>
        <item x="12"/>
        <item x="10"/>
        <item x="13"/>
        <item t="default"/>
      </items>
    </pivotField>
    <pivotField numFmtId="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uenta de Cliente" fld="0" subtotal="count" baseField="0" baseItem="0"/>
  </dataFields>
  <formats count="1">
    <format dxfId="0">
      <pivotArea collapsedLevelsAreSubtotals="1" fieldPosition="0">
        <references count="2">
          <reference field="1" count="1">
            <x v="2"/>
          </reference>
          <reference field="1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udict.eu/en/hla/32013R0575-X/article-11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zoomScale="86" zoomScaleNormal="90" workbookViewId="0">
      <selection activeCell="B24" sqref="B24"/>
    </sheetView>
  </sheetViews>
  <sheetFormatPr baseColWidth="10" defaultColWidth="8.6640625" defaultRowHeight="15" x14ac:dyDescent="0.2"/>
  <cols>
    <col min="1" max="1" width="34.6640625" customWidth="1"/>
    <col min="2" max="2" width="105.6640625" customWidth="1"/>
    <col min="3" max="8" width="16.6640625" customWidth="1"/>
  </cols>
  <sheetData>
    <row r="1" spans="1:8" ht="21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2">
      <c r="A2" s="25" t="s">
        <v>1</v>
      </c>
      <c r="B2" s="25"/>
      <c r="C2" s="25"/>
      <c r="D2" s="25"/>
      <c r="E2" s="25"/>
      <c r="F2" s="25"/>
      <c r="G2" s="25"/>
      <c r="H2" s="25"/>
    </row>
    <row r="4" spans="1:8" ht="16" x14ac:dyDescent="0.2">
      <c r="A4" s="3" t="s">
        <v>2</v>
      </c>
    </row>
    <row r="5" spans="1:8" x14ac:dyDescent="0.2">
      <c r="A5" s="26" t="s">
        <v>118</v>
      </c>
      <c r="B5" s="26"/>
      <c r="C5" s="26"/>
      <c r="D5" s="26"/>
      <c r="E5" s="26"/>
      <c r="F5" s="26"/>
      <c r="G5" s="26"/>
      <c r="H5" s="26"/>
    </row>
    <row r="6" spans="1:8" x14ac:dyDescent="0.2">
      <c r="A6" s="26"/>
      <c r="B6" s="26"/>
      <c r="C6" s="26"/>
      <c r="D6" s="26"/>
      <c r="E6" s="26"/>
      <c r="F6" s="26"/>
      <c r="G6" s="26"/>
      <c r="H6" s="26"/>
    </row>
    <row r="7" spans="1:8" ht="48" customHeight="1" x14ac:dyDescent="0.2">
      <c r="A7" s="26"/>
      <c r="B7" s="26"/>
      <c r="C7" s="26"/>
      <c r="D7" s="26"/>
      <c r="E7" s="26"/>
      <c r="F7" s="26"/>
      <c r="G7" s="26"/>
      <c r="H7" s="26"/>
    </row>
    <row r="9" spans="1:8" ht="16" x14ac:dyDescent="0.2">
      <c r="A9" s="3" t="s">
        <v>3</v>
      </c>
    </row>
    <row r="10" spans="1:8" x14ac:dyDescent="0.2">
      <c r="A10" s="26" t="s">
        <v>119</v>
      </c>
      <c r="B10" s="26"/>
      <c r="C10" s="26"/>
      <c r="D10" s="26"/>
      <c r="E10" s="26"/>
      <c r="F10" s="26"/>
      <c r="G10" s="26"/>
      <c r="H10" s="26"/>
    </row>
    <row r="11" spans="1:8" x14ac:dyDescent="0.2">
      <c r="A11" s="26"/>
      <c r="B11" s="26"/>
      <c r="C11" s="26"/>
      <c r="D11" s="26"/>
      <c r="E11" s="26"/>
      <c r="F11" s="26"/>
      <c r="G11" s="26"/>
      <c r="H11" s="26"/>
    </row>
    <row r="12" spans="1:8" x14ac:dyDescent="0.2">
      <c r="A12" s="26"/>
      <c r="B12" s="26"/>
      <c r="C12" s="26"/>
      <c r="D12" s="26"/>
      <c r="E12" s="26"/>
      <c r="F12" s="26"/>
      <c r="G12" s="26"/>
      <c r="H12" s="26"/>
    </row>
    <row r="13" spans="1:8" x14ac:dyDescent="0.2">
      <c r="A13" s="26"/>
      <c r="B13" s="26"/>
      <c r="C13" s="26"/>
      <c r="D13" s="26"/>
      <c r="E13" s="26"/>
      <c r="F13" s="26"/>
      <c r="G13" s="26"/>
      <c r="H13" s="26"/>
    </row>
    <row r="15" spans="1:8" ht="16" x14ac:dyDescent="0.2">
      <c r="A15" s="3" t="s">
        <v>4</v>
      </c>
      <c r="B15" t="s">
        <v>120</v>
      </c>
    </row>
    <row r="16" spans="1:8" x14ac:dyDescent="0.2">
      <c r="B16" t="s">
        <v>122</v>
      </c>
    </row>
    <row r="17" spans="1:2" x14ac:dyDescent="0.2">
      <c r="B17" s="12" t="s">
        <v>121</v>
      </c>
    </row>
    <row r="22" spans="1:2" x14ac:dyDescent="0.2">
      <c r="A22" t="s">
        <v>123</v>
      </c>
      <c r="B22" t="s">
        <v>124</v>
      </c>
    </row>
    <row r="23" spans="1:2" x14ac:dyDescent="0.2">
      <c r="B23" t="s">
        <v>130</v>
      </c>
    </row>
    <row r="32" spans="1:2" x14ac:dyDescent="0.2">
      <c r="A32" s="14"/>
      <c r="B32" s="14" t="s">
        <v>127</v>
      </c>
    </row>
    <row r="33" spans="1:2" x14ac:dyDescent="0.2">
      <c r="A33" s="14"/>
      <c r="B33" s="14"/>
    </row>
    <row r="34" spans="1:2" x14ac:dyDescent="0.2">
      <c r="A34" s="14" t="s">
        <v>125</v>
      </c>
      <c r="B34" s="14"/>
    </row>
    <row r="35" spans="1:2" x14ac:dyDescent="0.2">
      <c r="A35" s="14" t="s">
        <v>126</v>
      </c>
      <c r="B35" s="15" t="s">
        <v>128</v>
      </c>
    </row>
    <row r="36" spans="1:2" x14ac:dyDescent="0.2">
      <c r="A36" s="14"/>
      <c r="B36" s="15"/>
    </row>
    <row r="37" spans="1:2" x14ac:dyDescent="0.2">
      <c r="A37" s="14"/>
      <c r="B37" s="15"/>
    </row>
  </sheetData>
  <mergeCells count="4">
    <mergeCell ref="A1:H1"/>
    <mergeCell ref="A2:H2"/>
    <mergeCell ref="A5:H7"/>
    <mergeCell ref="A10:H13"/>
  </mergeCells>
  <hyperlinks>
    <hyperlink ref="B1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zoomScale="194" zoomScaleNormal="95" workbookViewId="0">
      <selection activeCell="A19" sqref="A19"/>
    </sheetView>
  </sheetViews>
  <sheetFormatPr baseColWidth="10" defaultColWidth="8.6640625" defaultRowHeight="15" x14ac:dyDescent="0.2"/>
  <cols>
    <col min="1" max="1" width="18.6640625" customWidth="1"/>
    <col min="2" max="2" width="8.1640625" bestFit="1" customWidth="1"/>
    <col min="3" max="3" width="100.5" bestFit="1" customWidth="1"/>
    <col min="4" max="4" width="50.6640625" customWidth="1"/>
  </cols>
  <sheetData>
    <row r="1" spans="1:3" ht="21" x14ac:dyDescent="0.25">
      <c r="A1" s="1" t="s">
        <v>5</v>
      </c>
    </row>
    <row r="3" spans="1:3" ht="16" x14ac:dyDescent="0.2">
      <c r="A3" s="4" t="s">
        <v>6</v>
      </c>
      <c r="B3" s="4" t="s">
        <v>7</v>
      </c>
      <c r="C3" s="4" t="s">
        <v>8</v>
      </c>
    </row>
    <row r="4" spans="1:3" x14ac:dyDescent="0.2">
      <c r="A4" s="8" t="s">
        <v>109</v>
      </c>
      <c r="B4" s="10">
        <v>0</v>
      </c>
      <c r="C4" s="8" t="s">
        <v>105</v>
      </c>
    </row>
    <row r="5" spans="1:3" x14ac:dyDescent="0.2">
      <c r="A5" s="8" t="s">
        <v>110</v>
      </c>
      <c r="B5" s="11" t="s">
        <v>107</v>
      </c>
      <c r="C5" s="8" t="s">
        <v>106</v>
      </c>
    </row>
    <row r="6" spans="1:3" x14ac:dyDescent="0.2">
      <c r="A6" s="8" t="s">
        <v>9</v>
      </c>
      <c r="B6" s="10">
        <v>0.2</v>
      </c>
      <c r="C6" s="8" t="s">
        <v>111</v>
      </c>
    </row>
    <row r="7" spans="1:3" x14ac:dyDescent="0.2">
      <c r="A7" s="8" t="s">
        <v>10</v>
      </c>
      <c r="B7" s="10">
        <v>1</v>
      </c>
      <c r="C7" s="8" t="s">
        <v>11</v>
      </c>
    </row>
    <row r="8" spans="1:3" x14ac:dyDescent="0.2">
      <c r="A8" s="8" t="s">
        <v>12</v>
      </c>
      <c r="B8" s="10">
        <v>0.75</v>
      </c>
      <c r="C8" s="8" t="s">
        <v>13</v>
      </c>
    </row>
    <row r="9" spans="1:3" x14ac:dyDescent="0.2">
      <c r="A9" s="8" t="s">
        <v>14</v>
      </c>
      <c r="B9" s="10">
        <v>0.35</v>
      </c>
      <c r="C9" s="8" t="s">
        <v>15</v>
      </c>
    </row>
    <row r="10" spans="1:3" x14ac:dyDescent="0.2">
      <c r="A10" s="8" t="s">
        <v>112</v>
      </c>
      <c r="B10" s="10">
        <v>0.6</v>
      </c>
      <c r="C10" s="8" t="s">
        <v>16</v>
      </c>
    </row>
    <row r="11" spans="1:3" x14ac:dyDescent="0.2">
      <c r="A11" s="8" t="s">
        <v>113</v>
      </c>
      <c r="B11" s="10">
        <v>1.5</v>
      </c>
      <c r="C11" s="8" t="s">
        <v>17</v>
      </c>
    </row>
    <row r="12" spans="1:3" x14ac:dyDescent="0.2">
      <c r="A12" s="8" t="s">
        <v>18</v>
      </c>
      <c r="B12" s="10">
        <v>1.5</v>
      </c>
      <c r="C12" s="8" t="s">
        <v>114</v>
      </c>
    </row>
    <row r="13" spans="1:3" x14ac:dyDescent="0.2">
      <c r="A13" s="8" t="s">
        <v>19</v>
      </c>
      <c r="B13" s="10">
        <v>1.5</v>
      </c>
      <c r="C13" s="8" t="s">
        <v>20</v>
      </c>
    </row>
    <row r="16" spans="1:3" ht="16" x14ac:dyDescent="0.2">
      <c r="A16" s="3" t="s">
        <v>21</v>
      </c>
    </row>
    <row r="17" spans="1:4" x14ac:dyDescent="0.2">
      <c r="A17" s="26" t="s">
        <v>117</v>
      </c>
      <c r="B17" s="26"/>
      <c r="C17" s="26"/>
      <c r="D17" s="26"/>
    </row>
    <row r="18" spans="1:4" x14ac:dyDescent="0.2">
      <c r="A18" s="26"/>
      <c r="B18" s="26"/>
      <c r="C18" s="26"/>
      <c r="D18" s="26"/>
    </row>
  </sheetData>
  <mergeCells count="1">
    <mergeCell ref="A17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showGridLines="0" zoomScale="85" zoomScaleNormal="77" workbookViewId="0">
      <pane ySplit="4" topLeftCell="A5" activePane="bottomLeft" state="frozen"/>
      <selection pane="bottomLeft" activeCell="A5" sqref="A5:N9"/>
    </sheetView>
  </sheetViews>
  <sheetFormatPr baseColWidth="10" defaultColWidth="8.6640625" defaultRowHeight="15" x14ac:dyDescent="0.2"/>
  <cols>
    <col min="1" max="1" width="14.6640625" customWidth="1"/>
    <col min="2" max="2" width="18.6640625" customWidth="1"/>
    <col min="3" max="3" width="26.6640625" customWidth="1"/>
    <col min="4" max="5" width="14.6640625" customWidth="1"/>
    <col min="6" max="6" width="8.6640625" customWidth="1"/>
    <col min="7" max="7" width="16.1640625" bestFit="1" customWidth="1"/>
    <col min="8" max="9" width="18.6640625" customWidth="1"/>
    <col min="10" max="10" width="20.6640625" customWidth="1"/>
    <col min="11" max="11" width="13.83203125" bestFit="1" customWidth="1"/>
    <col min="12" max="12" width="27.6640625" bestFit="1" customWidth="1"/>
    <col min="13" max="14" width="14.6640625" customWidth="1"/>
  </cols>
  <sheetData>
    <row r="1" spans="1:14" ht="21" x14ac:dyDescent="0.25">
      <c r="A1" s="1" t="s">
        <v>22</v>
      </c>
      <c r="M1" s="7" t="s">
        <v>116</v>
      </c>
      <c r="N1" s="17" t="s">
        <v>131</v>
      </c>
    </row>
    <row r="2" spans="1:14" x14ac:dyDescent="0.2">
      <c r="A2" s="2" t="s">
        <v>115</v>
      </c>
      <c r="M2" s="9">
        <f>SUM(M5:M24)</f>
        <v>360.46875</v>
      </c>
      <c r="N2" s="16">
        <f>SUM(N5:N24)</f>
        <v>28.837499999999999</v>
      </c>
    </row>
    <row r="3" spans="1:14" x14ac:dyDescent="0.2">
      <c r="G3" t="s">
        <v>137</v>
      </c>
      <c r="I3" t="s">
        <v>129</v>
      </c>
      <c r="L3" t="s">
        <v>138</v>
      </c>
      <c r="M3" t="s">
        <v>139</v>
      </c>
      <c r="N3" t="s">
        <v>140</v>
      </c>
    </row>
    <row r="4" spans="1:14" ht="16" x14ac:dyDescent="0.2">
      <c r="A4" s="4" t="s">
        <v>23</v>
      </c>
      <c r="B4" s="4" t="s">
        <v>24</v>
      </c>
      <c r="C4" s="4" t="s">
        <v>25</v>
      </c>
      <c r="D4" s="4" t="s">
        <v>108</v>
      </c>
      <c r="E4" s="4" t="s">
        <v>26</v>
      </c>
      <c r="F4" s="4" t="s">
        <v>27</v>
      </c>
      <c r="G4" s="7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7" t="s">
        <v>7</v>
      </c>
      <c r="M4" s="7" t="s">
        <v>33</v>
      </c>
      <c r="N4" s="7" t="s">
        <v>34</v>
      </c>
    </row>
    <row r="5" spans="1:14" ht="34" customHeight="1" x14ac:dyDescent="0.2">
      <c r="A5" s="8" t="s">
        <v>78</v>
      </c>
      <c r="B5" s="8" t="s">
        <v>79</v>
      </c>
      <c r="C5" s="8" t="s">
        <v>80</v>
      </c>
      <c r="D5" s="9">
        <v>120</v>
      </c>
      <c r="E5" s="9">
        <v>0</v>
      </c>
      <c r="F5" s="10">
        <v>0</v>
      </c>
      <c r="G5" s="9">
        <f>D5+(E5*F5)</f>
        <v>120</v>
      </c>
      <c r="H5" s="8" t="s">
        <v>38</v>
      </c>
      <c r="I5" s="8" t="s">
        <v>79</v>
      </c>
      <c r="J5" s="8" t="s">
        <v>81</v>
      </c>
      <c r="K5" s="8" t="s">
        <v>112</v>
      </c>
      <c r="L5" s="10">
        <f>VLOOKUP(K5,Reglas_RW!$A$4:$B$13,2, FALSE)</f>
        <v>0.6</v>
      </c>
      <c r="M5" s="9">
        <f>G5*L5</f>
        <v>72</v>
      </c>
      <c r="N5" s="9">
        <f>M5*8/100</f>
        <v>5.76</v>
      </c>
    </row>
    <row r="6" spans="1:14" ht="34" customHeight="1" x14ac:dyDescent="0.2">
      <c r="A6" s="8" t="s">
        <v>68</v>
      </c>
      <c r="B6" s="8" t="s">
        <v>69</v>
      </c>
      <c r="C6" s="8" t="s">
        <v>70</v>
      </c>
      <c r="D6" s="9">
        <v>180</v>
      </c>
      <c r="E6" s="9">
        <v>0</v>
      </c>
      <c r="F6" s="10">
        <v>0</v>
      </c>
      <c r="G6" s="9">
        <f t="shared" ref="G5:G24" si="0">D6+(E6*F6)</f>
        <v>180</v>
      </c>
      <c r="H6" s="8" t="s">
        <v>38</v>
      </c>
      <c r="I6" s="8" t="s">
        <v>69</v>
      </c>
      <c r="J6" s="8" t="s">
        <v>71</v>
      </c>
      <c r="K6" s="8" t="s">
        <v>14</v>
      </c>
      <c r="L6" s="10">
        <f>VLOOKUP(K6,Reglas_RW!$A$4:$B$13,2, FALSE)</f>
        <v>0.35</v>
      </c>
      <c r="M6" s="9">
        <f t="shared" ref="M5:M24" si="1">G6*L6</f>
        <v>62.999999999999993</v>
      </c>
      <c r="N6" s="9">
        <f t="shared" ref="N5:N24" si="2">M6*8/100</f>
        <v>5.0399999999999991</v>
      </c>
    </row>
    <row r="7" spans="1:14" ht="34" customHeight="1" x14ac:dyDescent="0.2">
      <c r="A7" s="8" t="s">
        <v>74</v>
      </c>
      <c r="B7" s="8" t="s">
        <v>75</v>
      </c>
      <c r="C7" s="8" t="s">
        <v>76</v>
      </c>
      <c r="D7" s="9">
        <v>40</v>
      </c>
      <c r="E7" s="9">
        <v>0</v>
      </c>
      <c r="F7" s="10">
        <v>0</v>
      </c>
      <c r="G7" s="9">
        <f t="shared" si="0"/>
        <v>40</v>
      </c>
      <c r="H7" s="8" t="s">
        <v>38</v>
      </c>
      <c r="I7" s="8" t="s">
        <v>77</v>
      </c>
      <c r="J7" s="8" t="s">
        <v>75</v>
      </c>
      <c r="K7" s="8" t="s">
        <v>19</v>
      </c>
      <c r="L7" s="10">
        <f>VLOOKUP(K7,Reglas_RW!$A$4:$B$13,2, FALSE)</f>
        <v>1.5</v>
      </c>
      <c r="M7" s="9">
        <f t="shared" si="1"/>
        <v>60</v>
      </c>
      <c r="N7" s="9">
        <f t="shared" si="2"/>
        <v>4.8</v>
      </c>
    </row>
    <row r="8" spans="1:14" ht="34" customHeight="1" x14ac:dyDescent="0.2">
      <c r="A8" s="8" t="s">
        <v>84</v>
      </c>
      <c r="B8" s="8" t="s">
        <v>85</v>
      </c>
      <c r="C8" s="8" t="s">
        <v>86</v>
      </c>
      <c r="D8" s="9">
        <v>30</v>
      </c>
      <c r="E8" s="9">
        <v>0</v>
      </c>
      <c r="F8" s="10">
        <v>0</v>
      </c>
      <c r="G8" s="9">
        <f t="shared" si="0"/>
        <v>30</v>
      </c>
      <c r="H8" s="8" t="s">
        <v>38</v>
      </c>
      <c r="I8" s="8" t="s">
        <v>87</v>
      </c>
      <c r="J8" s="8" t="s">
        <v>88</v>
      </c>
      <c r="K8" s="8" t="s">
        <v>113</v>
      </c>
      <c r="L8" s="10">
        <f>VLOOKUP(K8,Reglas_RW!$A$4:$B$13,2, FALSE)</f>
        <v>1.5</v>
      </c>
      <c r="M8" s="9">
        <f t="shared" si="1"/>
        <v>45</v>
      </c>
      <c r="N8" s="9">
        <f t="shared" si="2"/>
        <v>3.6</v>
      </c>
    </row>
    <row r="9" spans="1:14" ht="34" customHeight="1" x14ac:dyDescent="0.2">
      <c r="A9" s="8" t="s">
        <v>82</v>
      </c>
      <c r="B9" s="8" t="s">
        <v>79</v>
      </c>
      <c r="C9" s="8" t="s">
        <v>83</v>
      </c>
      <c r="D9" s="9">
        <v>70</v>
      </c>
      <c r="E9" s="9">
        <v>0</v>
      </c>
      <c r="F9" s="10">
        <v>0</v>
      </c>
      <c r="G9" s="9">
        <f t="shared" si="0"/>
        <v>70</v>
      </c>
      <c r="H9" s="8" t="s">
        <v>38</v>
      </c>
      <c r="I9" s="8" t="s">
        <v>79</v>
      </c>
      <c r="J9" s="8" t="s">
        <v>81</v>
      </c>
      <c r="K9" s="8" t="s">
        <v>112</v>
      </c>
      <c r="L9" s="10">
        <f>VLOOKUP(K9,Reglas_RW!$A$4:$B$13,2, FALSE)</f>
        <v>0.6</v>
      </c>
      <c r="M9" s="9">
        <f t="shared" si="1"/>
        <v>42</v>
      </c>
      <c r="N9" s="9">
        <f t="shared" si="2"/>
        <v>3.36</v>
      </c>
    </row>
    <row r="10" spans="1:14" ht="34" customHeight="1" x14ac:dyDescent="0.2">
      <c r="A10" s="8" t="s">
        <v>72</v>
      </c>
      <c r="B10" s="8" t="s">
        <v>69</v>
      </c>
      <c r="C10" s="8" t="s">
        <v>73</v>
      </c>
      <c r="D10" s="9">
        <v>95</v>
      </c>
      <c r="E10" s="9">
        <v>0</v>
      </c>
      <c r="F10" s="10">
        <v>0</v>
      </c>
      <c r="G10" s="9">
        <f t="shared" si="0"/>
        <v>95</v>
      </c>
      <c r="H10" s="8" t="s">
        <v>38</v>
      </c>
      <c r="I10" s="8" t="s">
        <v>69</v>
      </c>
      <c r="J10" s="8" t="s">
        <v>71</v>
      </c>
      <c r="K10" s="8" t="s">
        <v>14</v>
      </c>
      <c r="L10" s="10">
        <f>VLOOKUP(K10,Reglas_RW!$A$4:$B$13,2, FALSE)</f>
        <v>0.35</v>
      </c>
      <c r="M10" s="9">
        <f t="shared" si="1"/>
        <v>33.25</v>
      </c>
      <c r="N10" s="9">
        <f t="shared" si="2"/>
        <v>2.66</v>
      </c>
    </row>
    <row r="11" spans="1:14" ht="34" customHeight="1" x14ac:dyDescent="0.2">
      <c r="A11" s="8" t="s">
        <v>92</v>
      </c>
      <c r="B11" s="8" t="s">
        <v>49</v>
      </c>
      <c r="C11" s="8" t="s">
        <v>93</v>
      </c>
      <c r="D11" s="9">
        <v>0</v>
      </c>
      <c r="E11" s="9">
        <v>12</v>
      </c>
      <c r="F11" s="10">
        <v>1</v>
      </c>
      <c r="G11" s="9">
        <f t="shared" si="0"/>
        <v>12</v>
      </c>
      <c r="H11" s="8" t="s">
        <v>38</v>
      </c>
      <c r="I11" s="8" t="s">
        <v>39</v>
      </c>
      <c r="J11" s="8" t="s">
        <v>49</v>
      </c>
      <c r="K11" s="8" t="s">
        <v>10</v>
      </c>
      <c r="L11" s="10">
        <f>VLOOKUP(K11,Reglas_RW!$A$4:$B$13,2, FALSE)</f>
        <v>1</v>
      </c>
      <c r="M11" s="9">
        <f t="shared" si="1"/>
        <v>12</v>
      </c>
      <c r="N11" s="9">
        <f t="shared" si="2"/>
        <v>0.96</v>
      </c>
    </row>
    <row r="12" spans="1:14" ht="34" customHeight="1" x14ac:dyDescent="0.2">
      <c r="A12" s="8" t="s">
        <v>48</v>
      </c>
      <c r="B12" s="8" t="s">
        <v>49</v>
      </c>
      <c r="C12" s="8" t="s">
        <v>50</v>
      </c>
      <c r="D12" s="9">
        <v>8</v>
      </c>
      <c r="E12" s="9">
        <v>0</v>
      </c>
      <c r="F12" s="10">
        <v>0</v>
      </c>
      <c r="G12" s="9">
        <f t="shared" si="0"/>
        <v>8</v>
      </c>
      <c r="H12" s="8" t="s">
        <v>38</v>
      </c>
      <c r="I12" s="8" t="s">
        <v>51</v>
      </c>
      <c r="J12" s="8" t="s">
        <v>49</v>
      </c>
      <c r="K12" s="8" t="s">
        <v>10</v>
      </c>
      <c r="L12" s="10">
        <f>VLOOKUP(K12,Reglas_RW!$A$4:$B$13,2, FALSE)</f>
        <v>1</v>
      </c>
      <c r="M12" s="9">
        <f t="shared" si="1"/>
        <v>8</v>
      </c>
      <c r="N12" s="9">
        <f t="shared" si="2"/>
        <v>0.64</v>
      </c>
    </row>
    <row r="13" spans="1:14" ht="34" customHeight="1" x14ac:dyDescent="0.2">
      <c r="A13" s="8" t="s">
        <v>55</v>
      </c>
      <c r="B13" s="8" t="s">
        <v>49</v>
      </c>
      <c r="C13" s="8" t="s">
        <v>56</v>
      </c>
      <c r="D13" s="9">
        <v>6.5</v>
      </c>
      <c r="E13" s="9">
        <v>0</v>
      </c>
      <c r="F13" s="10">
        <v>0</v>
      </c>
      <c r="G13" s="9">
        <f t="shared" si="0"/>
        <v>6.5</v>
      </c>
      <c r="H13" s="8" t="s">
        <v>38</v>
      </c>
      <c r="I13" s="8" t="s">
        <v>51</v>
      </c>
      <c r="J13" s="8" t="s">
        <v>49</v>
      </c>
      <c r="K13" s="8" t="s">
        <v>10</v>
      </c>
      <c r="L13" s="10">
        <f>VLOOKUP(K13,Reglas_RW!$A$4:$B$13,2, FALSE)</f>
        <v>1</v>
      </c>
      <c r="M13" s="9">
        <f t="shared" si="1"/>
        <v>6.5</v>
      </c>
      <c r="N13" s="9">
        <f t="shared" si="2"/>
        <v>0.52</v>
      </c>
    </row>
    <row r="14" spans="1:14" ht="34" customHeight="1" x14ac:dyDescent="0.2">
      <c r="A14" s="8" t="s">
        <v>52</v>
      </c>
      <c r="B14" s="8" t="s">
        <v>53</v>
      </c>
      <c r="C14" s="8" t="s">
        <v>54</v>
      </c>
      <c r="D14" s="9">
        <v>3.2</v>
      </c>
      <c r="E14" s="9">
        <v>1.8</v>
      </c>
      <c r="F14" s="10">
        <v>0.5</v>
      </c>
      <c r="G14" s="9">
        <f t="shared" si="0"/>
        <v>4.1000000000000005</v>
      </c>
      <c r="H14" s="8" t="s">
        <v>38</v>
      </c>
      <c r="I14" s="8" t="s">
        <v>51</v>
      </c>
      <c r="J14" s="8" t="s">
        <v>49</v>
      </c>
      <c r="K14" s="8" t="s">
        <v>10</v>
      </c>
      <c r="L14" s="10">
        <f>VLOOKUP(K14,Reglas_RW!$A$4:$B$13,2, FALSE)</f>
        <v>1</v>
      </c>
      <c r="M14" s="9">
        <f t="shared" si="1"/>
        <v>4.1000000000000005</v>
      </c>
      <c r="N14" s="9">
        <f t="shared" si="2"/>
        <v>0.32800000000000007</v>
      </c>
    </row>
    <row r="15" spans="1:14" ht="34" customHeight="1" x14ac:dyDescent="0.2">
      <c r="A15" s="8" t="s">
        <v>57</v>
      </c>
      <c r="B15" s="8" t="s">
        <v>49</v>
      </c>
      <c r="C15" s="8" t="s">
        <v>58</v>
      </c>
      <c r="D15" s="9">
        <v>2.4</v>
      </c>
      <c r="E15" s="9">
        <v>0</v>
      </c>
      <c r="F15" s="10">
        <v>0</v>
      </c>
      <c r="G15" s="9">
        <f t="shared" si="0"/>
        <v>2.4</v>
      </c>
      <c r="H15" s="8" t="s">
        <v>59</v>
      </c>
      <c r="I15" s="8" t="s">
        <v>51</v>
      </c>
      <c r="J15" s="8" t="s">
        <v>60</v>
      </c>
      <c r="K15" s="8" t="s">
        <v>18</v>
      </c>
      <c r="L15" s="10">
        <f>VLOOKUP(K15,Reglas_RW!$A$4:$B$13,2, FALSE)</f>
        <v>1.5</v>
      </c>
      <c r="M15" s="9">
        <f t="shared" si="1"/>
        <v>3.5999999999999996</v>
      </c>
      <c r="N15" s="9">
        <f t="shared" si="2"/>
        <v>0.28799999999999998</v>
      </c>
    </row>
    <row r="16" spans="1:14" ht="34" customHeight="1" x14ac:dyDescent="0.2">
      <c r="A16" s="8" t="s">
        <v>89</v>
      </c>
      <c r="B16" s="8" t="s">
        <v>90</v>
      </c>
      <c r="C16" s="8" t="s">
        <v>91</v>
      </c>
      <c r="D16" s="9">
        <v>1.8</v>
      </c>
      <c r="E16" s="9">
        <v>0</v>
      </c>
      <c r="F16" s="10">
        <v>0</v>
      </c>
      <c r="G16" s="9">
        <f t="shared" si="0"/>
        <v>1.8</v>
      </c>
      <c r="H16" s="8" t="s">
        <v>59</v>
      </c>
      <c r="I16" s="8" t="s">
        <v>51</v>
      </c>
      <c r="J16" s="8" t="s">
        <v>60</v>
      </c>
      <c r="K16" s="8" t="s">
        <v>18</v>
      </c>
      <c r="L16" s="10">
        <f>VLOOKUP(K16,Reglas_RW!$A$4:$B$13,2, FALSE)</f>
        <v>1.5</v>
      </c>
      <c r="M16" s="9">
        <f t="shared" si="1"/>
        <v>2.7</v>
      </c>
      <c r="N16" s="9">
        <f t="shared" si="2"/>
        <v>0.21600000000000003</v>
      </c>
    </row>
    <row r="17" spans="1:14" ht="34" customHeight="1" x14ac:dyDescent="0.2">
      <c r="A17" s="8" t="s">
        <v>43</v>
      </c>
      <c r="B17" s="8" t="s">
        <v>44</v>
      </c>
      <c r="C17" s="8" t="s">
        <v>45</v>
      </c>
      <c r="D17" s="9">
        <v>10</v>
      </c>
      <c r="E17" s="9">
        <v>0</v>
      </c>
      <c r="F17" s="10">
        <v>0</v>
      </c>
      <c r="G17" s="9">
        <f t="shared" si="0"/>
        <v>10</v>
      </c>
      <c r="H17" s="8" t="s">
        <v>38</v>
      </c>
      <c r="I17" s="8" t="s">
        <v>39</v>
      </c>
      <c r="J17" s="8" t="s">
        <v>44</v>
      </c>
      <c r="K17" s="8" t="s">
        <v>9</v>
      </c>
      <c r="L17" s="10">
        <f>VLOOKUP(K17,Reglas_RW!$A$4:$B$13,2, FALSE)</f>
        <v>0.2</v>
      </c>
      <c r="M17" s="9">
        <f t="shared" si="1"/>
        <v>2</v>
      </c>
      <c r="N17" s="9">
        <f t="shared" si="2"/>
        <v>0.16</v>
      </c>
    </row>
    <row r="18" spans="1:14" ht="34" customHeight="1" x14ac:dyDescent="0.2">
      <c r="A18" s="8" t="s">
        <v>64</v>
      </c>
      <c r="B18" s="8" t="s">
        <v>62</v>
      </c>
      <c r="C18" s="8" t="s">
        <v>65</v>
      </c>
      <c r="D18" s="9">
        <v>0.6</v>
      </c>
      <c r="E18" s="9">
        <v>2.4</v>
      </c>
      <c r="F18" s="10">
        <v>0.75</v>
      </c>
      <c r="G18" s="9">
        <f t="shared" si="0"/>
        <v>2.4</v>
      </c>
      <c r="H18" s="8" t="s">
        <v>38</v>
      </c>
      <c r="I18" s="8" t="s">
        <v>39</v>
      </c>
      <c r="J18" s="8" t="s">
        <v>62</v>
      </c>
      <c r="K18" s="8" t="s">
        <v>12</v>
      </c>
      <c r="L18" s="10">
        <f>VLOOKUP(K18,Reglas_RW!$A$4:$B$13,2, FALSE)</f>
        <v>0.75</v>
      </c>
      <c r="M18" s="9">
        <f t="shared" si="1"/>
        <v>1.7999999999999998</v>
      </c>
      <c r="N18" s="9">
        <f t="shared" si="2"/>
        <v>0.14399999999999999</v>
      </c>
    </row>
    <row r="19" spans="1:14" ht="34" customHeight="1" x14ac:dyDescent="0.2">
      <c r="A19" s="8" t="s">
        <v>66</v>
      </c>
      <c r="B19" s="8" t="s">
        <v>62</v>
      </c>
      <c r="C19" s="8" t="s">
        <v>67</v>
      </c>
      <c r="D19" s="9">
        <v>0.9</v>
      </c>
      <c r="E19" s="9">
        <v>1.1000000000000001</v>
      </c>
      <c r="F19" s="10">
        <v>0.75</v>
      </c>
      <c r="G19" s="9">
        <f t="shared" si="0"/>
        <v>1.7250000000000001</v>
      </c>
      <c r="H19" s="8" t="s">
        <v>38</v>
      </c>
      <c r="I19" s="8" t="s">
        <v>39</v>
      </c>
      <c r="J19" s="8" t="s">
        <v>62</v>
      </c>
      <c r="K19" s="8" t="s">
        <v>12</v>
      </c>
      <c r="L19" s="10">
        <f>VLOOKUP(K19,Reglas_RW!$A$4:$B$13,2, FALSE)</f>
        <v>0.75</v>
      </c>
      <c r="M19" s="9">
        <f t="shared" si="1"/>
        <v>1.2937500000000002</v>
      </c>
      <c r="N19" s="9">
        <f t="shared" si="2"/>
        <v>0.10350000000000001</v>
      </c>
    </row>
    <row r="20" spans="1:14" ht="34" customHeight="1" x14ac:dyDescent="0.2">
      <c r="A20" s="8" t="s">
        <v>46</v>
      </c>
      <c r="B20" s="8" t="s">
        <v>44</v>
      </c>
      <c r="C20" s="8" t="s">
        <v>47</v>
      </c>
      <c r="D20" s="9">
        <v>6</v>
      </c>
      <c r="E20" s="9">
        <v>0</v>
      </c>
      <c r="F20" s="10">
        <v>0</v>
      </c>
      <c r="G20" s="9">
        <f t="shared" si="0"/>
        <v>6</v>
      </c>
      <c r="H20" s="8" t="s">
        <v>38</v>
      </c>
      <c r="I20" s="8" t="s">
        <v>39</v>
      </c>
      <c r="J20" s="8" t="s">
        <v>44</v>
      </c>
      <c r="K20" s="8" t="s">
        <v>9</v>
      </c>
      <c r="L20" s="10">
        <f>VLOOKUP(K20,Reglas_RW!$A$4:$B$13,2, FALSE)</f>
        <v>0.2</v>
      </c>
      <c r="M20" s="9">
        <f t="shared" si="1"/>
        <v>1.2000000000000002</v>
      </c>
      <c r="N20" s="9">
        <f t="shared" si="2"/>
        <v>9.6000000000000016E-2</v>
      </c>
    </row>
    <row r="21" spans="1:14" ht="34" customHeight="1" x14ac:dyDescent="0.2">
      <c r="A21" s="8" t="s">
        <v>94</v>
      </c>
      <c r="B21" s="8" t="s">
        <v>62</v>
      </c>
      <c r="C21" s="8" t="s">
        <v>95</v>
      </c>
      <c r="D21" s="9">
        <v>0.4</v>
      </c>
      <c r="E21" s="9">
        <v>1.6</v>
      </c>
      <c r="F21" s="10">
        <v>0.75</v>
      </c>
      <c r="G21" s="9">
        <f t="shared" si="0"/>
        <v>1.6</v>
      </c>
      <c r="H21" s="8" t="s">
        <v>38</v>
      </c>
      <c r="I21" s="8" t="s">
        <v>39</v>
      </c>
      <c r="J21" s="8" t="s">
        <v>62</v>
      </c>
      <c r="K21" s="8" t="s">
        <v>12</v>
      </c>
      <c r="L21" s="10">
        <f>VLOOKUP(K21,Reglas_RW!$A$4:$B$13,2, FALSE)</f>
        <v>0.75</v>
      </c>
      <c r="M21" s="9">
        <f t="shared" si="1"/>
        <v>1.2000000000000002</v>
      </c>
      <c r="N21" s="9">
        <f t="shared" si="2"/>
        <v>9.6000000000000016E-2</v>
      </c>
    </row>
    <row r="22" spans="1:14" ht="34" customHeight="1" x14ac:dyDescent="0.2">
      <c r="A22" s="8" t="s">
        <v>61</v>
      </c>
      <c r="B22" s="8" t="s">
        <v>62</v>
      </c>
      <c r="C22" s="8" t="s">
        <v>63</v>
      </c>
      <c r="D22" s="9">
        <v>1.1000000000000001</v>
      </c>
      <c r="E22" s="9">
        <v>0</v>
      </c>
      <c r="F22" s="10">
        <v>0</v>
      </c>
      <c r="G22" s="9">
        <f t="shared" si="0"/>
        <v>1.1000000000000001</v>
      </c>
      <c r="H22" s="8" t="s">
        <v>38</v>
      </c>
      <c r="I22" s="8" t="s">
        <v>39</v>
      </c>
      <c r="J22" s="8" t="s">
        <v>62</v>
      </c>
      <c r="K22" s="8" t="s">
        <v>12</v>
      </c>
      <c r="L22" s="10">
        <f>VLOOKUP(K22,Reglas_RW!$A$4:$B$13,2, FALSE)</f>
        <v>0.75</v>
      </c>
      <c r="M22" s="9">
        <f t="shared" si="1"/>
        <v>0.82500000000000007</v>
      </c>
      <c r="N22" s="9">
        <f t="shared" si="2"/>
        <v>6.6000000000000003E-2</v>
      </c>
    </row>
    <row r="23" spans="1:14" ht="34" customHeight="1" x14ac:dyDescent="0.2">
      <c r="A23" s="8" t="s">
        <v>35</v>
      </c>
      <c r="B23" s="8" t="s">
        <v>36</v>
      </c>
      <c r="C23" s="8" t="s">
        <v>37</v>
      </c>
      <c r="D23" s="9">
        <v>25</v>
      </c>
      <c r="E23" s="9">
        <v>0</v>
      </c>
      <c r="F23" s="10">
        <v>0</v>
      </c>
      <c r="G23" s="9">
        <f t="shared" si="0"/>
        <v>25</v>
      </c>
      <c r="H23" s="8" t="s">
        <v>38</v>
      </c>
      <c r="I23" s="8" t="s">
        <v>39</v>
      </c>
      <c r="J23" s="8" t="s">
        <v>42</v>
      </c>
      <c r="K23" s="8" t="s">
        <v>109</v>
      </c>
      <c r="L23" s="10">
        <f>VLOOKUP(K23,Reglas_RW!$A$4:$B$13,2, FALSE)</f>
        <v>0</v>
      </c>
      <c r="M23" s="9">
        <f t="shared" si="1"/>
        <v>0</v>
      </c>
      <c r="N23" s="9">
        <f t="shared" si="2"/>
        <v>0</v>
      </c>
    </row>
    <row r="24" spans="1:14" ht="34" customHeight="1" x14ac:dyDescent="0.2">
      <c r="A24" s="8" t="s">
        <v>40</v>
      </c>
      <c r="B24" s="8" t="s">
        <v>36</v>
      </c>
      <c r="C24" s="8" t="s">
        <v>41</v>
      </c>
      <c r="D24" s="9">
        <v>15</v>
      </c>
      <c r="E24" s="9">
        <v>0</v>
      </c>
      <c r="F24" s="10">
        <v>0</v>
      </c>
      <c r="G24" s="9">
        <f t="shared" si="0"/>
        <v>15</v>
      </c>
      <c r="H24" s="8" t="s">
        <v>38</v>
      </c>
      <c r="I24" s="8" t="s">
        <v>39</v>
      </c>
      <c r="J24" s="8" t="s">
        <v>42</v>
      </c>
      <c r="K24" s="8" t="s">
        <v>109</v>
      </c>
      <c r="L24" s="10">
        <f>VLOOKUP(K24,Reglas_RW!$A$4:$B$13,2, FALSE)</f>
        <v>0</v>
      </c>
      <c r="M24" s="9">
        <f t="shared" si="1"/>
        <v>0</v>
      </c>
      <c r="N24" s="9">
        <f t="shared" si="2"/>
        <v>0</v>
      </c>
    </row>
  </sheetData>
  <autoFilter ref="A4:N24" xr:uid="{00000000-0009-0000-0000-000003000000}">
    <sortState ref="A5:N24">
      <sortCondition descending="1" ref="M4:M24"/>
    </sortState>
  </autoFilter>
  <conditionalFormatting sqref="L5:L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4">
    <cfRule type="dataBar" priority="3">
      <dataBar>
        <cfvo type="min"/>
        <cfvo type="max"/>
        <color rgb="FF638EC6"/>
      </dataBar>
    </cfRule>
  </conditionalFormatting>
  <conditionalFormatting sqref="M2">
    <cfRule type="dataBar" priority="1">
      <dataBar>
        <cfvo type="min"/>
        <cfvo type="max"/>
        <color rgb="FF638EC6"/>
      </dataBar>
    </cfRule>
  </conditionalFormatting>
  <conditionalFormatting sqref="N5:N24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15"/>
  <sheetViews>
    <sheetView topLeftCell="A2" zoomScale="228" workbookViewId="0">
      <selection activeCell="G17" sqref="G17"/>
    </sheetView>
  </sheetViews>
  <sheetFormatPr baseColWidth="10" defaultRowHeight="15" x14ac:dyDescent="0.2"/>
  <cols>
    <col min="1" max="1" width="19.5" customWidth="1"/>
    <col min="2" max="2" width="22.5" customWidth="1"/>
    <col min="3" max="6" width="4.5" customWidth="1"/>
    <col min="7" max="8" width="5.5" customWidth="1"/>
    <col min="9" max="9" width="12.5" customWidth="1"/>
    <col min="10" max="12" width="4.5" customWidth="1"/>
    <col min="13" max="19" width="5.5" customWidth="1"/>
    <col min="20" max="20" width="12.5" customWidth="1"/>
    <col min="21" max="21" width="9.83203125" customWidth="1"/>
    <col min="22" max="22" width="12.5" bestFit="1" customWidth="1"/>
  </cols>
  <sheetData>
    <row r="3" spans="1:9" x14ac:dyDescent="0.2">
      <c r="A3" s="19" t="s">
        <v>136</v>
      </c>
      <c r="B3" s="19" t="s">
        <v>135</v>
      </c>
    </row>
    <row r="4" spans="1:9" x14ac:dyDescent="0.2">
      <c r="A4" s="19" t="s">
        <v>133</v>
      </c>
      <c r="B4" s="22">
        <v>0</v>
      </c>
      <c r="C4" s="22">
        <v>0.2</v>
      </c>
      <c r="D4" s="22">
        <v>0.35</v>
      </c>
      <c r="E4" s="22">
        <v>0.6</v>
      </c>
      <c r="F4" s="22">
        <v>0.75</v>
      </c>
      <c r="G4" s="22">
        <v>1</v>
      </c>
      <c r="H4" s="22">
        <v>1.5</v>
      </c>
      <c r="I4" s="22" t="s">
        <v>134</v>
      </c>
    </row>
    <row r="5" spans="1:9" x14ac:dyDescent="0.2">
      <c r="A5" s="20" t="s">
        <v>75</v>
      </c>
      <c r="B5" s="21"/>
      <c r="C5" s="21"/>
      <c r="D5" s="21"/>
      <c r="E5" s="21"/>
      <c r="F5" s="21"/>
      <c r="G5" s="21"/>
      <c r="H5" s="21">
        <v>1</v>
      </c>
      <c r="I5" s="21">
        <v>1</v>
      </c>
    </row>
    <row r="6" spans="1:9" x14ac:dyDescent="0.2">
      <c r="A6" s="20" t="s">
        <v>49</v>
      </c>
      <c r="B6" s="21"/>
      <c r="C6" s="21"/>
      <c r="D6" s="21"/>
      <c r="E6" s="21"/>
      <c r="F6" s="21"/>
      <c r="G6" s="21">
        <v>3</v>
      </c>
      <c r="H6" s="21">
        <v>1</v>
      </c>
      <c r="I6" s="21">
        <v>4</v>
      </c>
    </row>
    <row r="7" spans="1:9" x14ac:dyDescent="0.2">
      <c r="A7" s="20" t="s">
        <v>79</v>
      </c>
      <c r="B7" s="21"/>
      <c r="C7" s="21"/>
      <c r="D7" s="21"/>
      <c r="E7" s="21">
        <v>2</v>
      </c>
      <c r="F7" s="23"/>
      <c r="G7" s="21"/>
      <c r="H7" s="21"/>
      <c r="I7" s="21">
        <v>2</v>
      </c>
    </row>
    <row r="8" spans="1:9" x14ac:dyDescent="0.2">
      <c r="A8" s="20" t="s">
        <v>85</v>
      </c>
      <c r="B8" s="21"/>
      <c r="C8" s="21"/>
      <c r="D8" s="21"/>
      <c r="E8" s="21"/>
      <c r="F8" s="21"/>
      <c r="G8" s="21"/>
      <c r="H8" s="21">
        <v>1</v>
      </c>
      <c r="I8" s="21">
        <v>1</v>
      </c>
    </row>
    <row r="9" spans="1:9" x14ac:dyDescent="0.2">
      <c r="A9" s="20" t="s">
        <v>69</v>
      </c>
      <c r="B9" s="21"/>
      <c r="C9" s="21"/>
      <c r="D9" s="21">
        <v>2</v>
      </c>
      <c r="E9" s="21"/>
      <c r="F9" s="21"/>
      <c r="G9" s="21"/>
      <c r="H9" s="21"/>
      <c r="I9" s="21">
        <v>2</v>
      </c>
    </row>
    <row r="10" spans="1:9" x14ac:dyDescent="0.2">
      <c r="A10" s="20" t="s">
        <v>44</v>
      </c>
      <c r="B10" s="21"/>
      <c r="C10" s="21">
        <v>2</v>
      </c>
      <c r="D10" s="21"/>
      <c r="E10" s="21"/>
      <c r="F10" s="21"/>
      <c r="G10" s="21"/>
      <c r="H10" s="21"/>
      <c r="I10" s="21">
        <v>2</v>
      </c>
    </row>
    <row r="11" spans="1:9" x14ac:dyDescent="0.2">
      <c r="A11" s="20" t="s">
        <v>62</v>
      </c>
      <c r="B11" s="21"/>
      <c r="C11" s="21"/>
      <c r="D11" s="21"/>
      <c r="E11" s="21"/>
      <c r="F11" s="21">
        <v>4</v>
      </c>
      <c r="G11" s="21"/>
      <c r="H11" s="21"/>
      <c r="I11" s="21">
        <v>4</v>
      </c>
    </row>
    <row r="12" spans="1:9" x14ac:dyDescent="0.2">
      <c r="A12" s="20" t="s">
        <v>90</v>
      </c>
      <c r="B12" s="21"/>
      <c r="C12" s="21"/>
      <c r="D12" s="21"/>
      <c r="E12" s="21"/>
      <c r="F12" s="21"/>
      <c r="G12" s="21"/>
      <c r="H12" s="21">
        <v>1</v>
      </c>
      <c r="I12" s="21">
        <v>1</v>
      </c>
    </row>
    <row r="13" spans="1:9" x14ac:dyDescent="0.2">
      <c r="A13" s="20" t="s">
        <v>53</v>
      </c>
      <c r="B13" s="21"/>
      <c r="C13" s="21"/>
      <c r="D13" s="21"/>
      <c r="E13" s="21"/>
      <c r="F13" s="21"/>
      <c r="G13" s="21">
        <v>1</v>
      </c>
      <c r="H13" s="21"/>
      <c r="I13" s="21">
        <v>1</v>
      </c>
    </row>
    <row r="14" spans="1:9" x14ac:dyDescent="0.2">
      <c r="A14" s="20" t="s">
        <v>36</v>
      </c>
      <c r="B14" s="21">
        <v>2</v>
      </c>
      <c r="C14" s="21"/>
      <c r="D14" s="21"/>
      <c r="E14" s="21"/>
      <c r="F14" s="21"/>
      <c r="G14" s="21"/>
      <c r="H14" s="21"/>
      <c r="I14" s="21">
        <v>2</v>
      </c>
    </row>
    <row r="15" spans="1:9" x14ac:dyDescent="0.2">
      <c r="A15" s="20" t="s">
        <v>134</v>
      </c>
      <c r="B15" s="21">
        <v>2</v>
      </c>
      <c r="C15" s="21">
        <v>2</v>
      </c>
      <c r="D15" s="21">
        <v>2</v>
      </c>
      <c r="E15" s="21">
        <v>2</v>
      </c>
      <c r="F15" s="21">
        <v>4</v>
      </c>
      <c r="G15" s="21">
        <v>4</v>
      </c>
      <c r="H15" s="21">
        <v>4</v>
      </c>
      <c r="I15" s="2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showGridLines="0" tabSelected="1" zoomScale="125" zoomScaleNormal="95" workbookViewId="0">
      <selection activeCell="F12" sqref="F12"/>
    </sheetView>
  </sheetViews>
  <sheetFormatPr baseColWidth="10" defaultColWidth="8.6640625" defaultRowHeight="15" x14ac:dyDescent="0.2"/>
  <cols>
    <col min="1" max="1" width="99.5" bestFit="1" customWidth="1"/>
    <col min="2" max="2" width="16.6640625" customWidth="1"/>
    <col min="3" max="3" width="4.6640625" customWidth="1"/>
    <col min="4" max="4" width="16.6640625" customWidth="1"/>
    <col min="5" max="5" width="12.6640625" customWidth="1"/>
    <col min="6" max="8" width="14.6640625" customWidth="1"/>
  </cols>
  <sheetData>
    <row r="1" spans="1:17" ht="21" x14ac:dyDescent="0.25">
      <c r="A1" s="1" t="s">
        <v>96</v>
      </c>
    </row>
    <row r="2" spans="1:17" x14ac:dyDescent="0.2">
      <c r="A2" s="2" t="s">
        <v>97</v>
      </c>
    </row>
    <row r="4" spans="1:17" ht="16" x14ac:dyDescent="0.2">
      <c r="A4" s="4" t="s">
        <v>98</v>
      </c>
      <c r="B4" s="4" t="s">
        <v>99</v>
      </c>
      <c r="D4" s="4" t="s">
        <v>103</v>
      </c>
    </row>
    <row r="5" spans="1:17" ht="16" x14ac:dyDescent="0.2">
      <c r="A5" s="5" t="s">
        <v>100</v>
      </c>
      <c r="B5" s="6">
        <f>SUM(Base_Datos!G5:G24)</f>
        <v>632.625</v>
      </c>
      <c r="D5" s="4" t="s">
        <v>23</v>
      </c>
      <c r="E5" s="4" t="s">
        <v>6</v>
      </c>
      <c r="F5" s="4" t="s">
        <v>28</v>
      </c>
      <c r="G5" s="4" t="s">
        <v>7</v>
      </c>
      <c r="H5" s="4" t="s">
        <v>33</v>
      </c>
    </row>
    <row r="6" spans="1:17" ht="16" x14ac:dyDescent="0.2">
      <c r="A6" s="5" t="s">
        <v>101</v>
      </c>
      <c r="B6" s="6">
        <f>Base_Datos!M2</f>
        <v>360.46875</v>
      </c>
      <c r="D6" s="8" t="s">
        <v>78</v>
      </c>
      <c r="E6" s="8" t="s">
        <v>112</v>
      </c>
      <c r="F6" s="9">
        <v>120</v>
      </c>
      <c r="G6" s="9">
        <v>72</v>
      </c>
      <c r="H6" s="9">
        <f>G6*8/100</f>
        <v>5.76</v>
      </c>
    </row>
    <row r="7" spans="1:17" ht="16" x14ac:dyDescent="0.2">
      <c r="A7" s="5" t="s">
        <v>102</v>
      </c>
      <c r="B7" s="6">
        <f>Base_Datos!N2</f>
        <v>28.837499999999999</v>
      </c>
      <c r="D7" s="8" t="s">
        <v>68</v>
      </c>
      <c r="E7" s="8" t="s">
        <v>14</v>
      </c>
      <c r="F7" s="9">
        <v>180</v>
      </c>
      <c r="G7" s="9">
        <v>62.999999999999993</v>
      </c>
      <c r="H7" s="9">
        <f>G7*8/100</f>
        <v>5.0399999999999991</v>
      </c>
    </row>
    <row r="8" spans="1:17" x14ac:dyDescent="0.2">
      <c r="A8" s="18" t="s">
        <v>132</v>
      </c>
      <c r="B8" s="13">
        <f>B6/B5</f>
        <v>0.56979845880260815</v>
      </c>
      <c r="D8" s="8" t="s">
        <v>74</v>
      </c>
      <c r="E8" s="8" t="s">
        <v>19</v>
      </c>
      <c r="F8" s="9">
        <v>40</v>
      </c>
      <c r="G8" s="9">
        <v>60</v>
      </c>
      <c r="H8" s="9">
        <f>G8*8/100</f>
        <v>4.8</v>
      </c>
    </row>
    <row r="9" spans="1:17" x14ac:dyDescent="0.2">
      <c r="A9" s="13"/>
      <c r="B9" s="13"/>
      <c r="D9" s="8" t="s">
        <v>84</v>
      </c>
      <c r="E9" s="8" t="s">
        <v>113</v>
      </c>
      <c r="F9" s="9">
        <v>30</v>
      </c>
      <c r="G9" s="9">
        <v>45</v>
      </c>
      <c r="H9" s="9">
        <f>G9*8/100</f>
        <v>3.6</v>
      </c>
    </row>
    <row r="10" spans="1:17" x14ac:dyDescent="0.2">
      <c r="D10" s="8" t="s">
        <v>82</v>
      </c>
      <c r="E10" s="8" t="s">
        <v>112</v>
      </c>
      <c r="F10" s="9">
        <v>70</v>
      </c>
      <c r="G10" s="9">
        <v>42</v>
      </c>
      <c r="H10" s="9">
        <f>G10*8/100</f>
        <v>3.36</v>
      </c>
    </row>
    <row r="11" spans="1:17" ht="16" x14ac:dyDescent="0.2">
      <c r="A11" s="28" t="s">
        <v>104</v>
      </c>
      <c r="B11" s="28"/>
    </row>
    <row r="12" spans="1:17" ht="70" customHeight="1" x14ac:dyDescent="0.2">
      <c r="A12" s="27"/>
      <c r="B12" s="27"/>
    </row>
    <row r="13" spans="1:17" x14ac:dyDescent="0.2">
      <c r="A13" s="27"/>
      <c r="B13" s="27"/>
      <c r="D13" s="30"/>
      <c r="E13" s="30"/>
      <c r="F13" s="32"/>
      <c r="G13" s="29"/>
      <c r="H13" s="32"/>
      <c r="I13" s="31"/>
      <c r="J13" s="32"/>
      <c r="K13" s="30"/>
      <c r="L13" s="30"/>
      <c r="M13" s="30"/>
      <c r="N13" s="29"/>
      <c r="O13" s="31"/>
      <c r="P13" s="32"/>
      <c r="Q13" s="32"/>
    </row>
    <row r="14" spans="1:17" x14ac:dyDescent="0.2">
      <c r="A14" s="27"/>
      <c r="B14" s="27"/>
      <c r="D14" s="30"/>
      <c r="E14" s="30"/>
      <c r="F14" s="32"/>
      <c r="G14" s="29"/>
      <c r="H14" s="32"/>
      <c r="I14" s="31"/>
      <c r="J14" s="32"/>
      <c r="K14" s="30"/>
      <c r="L14" s="30"/>
      <c r="M14" s="30"/>
      <c r="N14" s="29"/>
      <c r="O14" s="31"/>
      <c r="P14" s="32"/>
      <c r="Q14" s="32"/>
    </row>
    <row r="15" spans="1:17" x14ac:dyDescent="0.2">
      <c r="A15" s="27"/>
      <c r="B15" s="27"/>
      <c r="D15" s="30"/>
      <c r="E15" s="30"/>
      <c r="F15" s="32"/>
      <c r="G15" s="29"/>
      <c r="H15" s="32"/>
      <c r="I15" s="31"/>
      <c r="J15" s="32"/>
      <c r="K15" s="30"/>
      <c r="L15" s="30"/>
      <c r="M15" s="30"/>
      <c r="N15" s="29"/>
      <c r="O15" s="31"/>
      <c r="P15" s="32"/>
      <c r="Q15" s="32"/>
    </row>
    <row r="16" spans="1:17" x14ac:dyDescent="0.2">
      <c r="D16" s="30"/>
      <c r="E16" s="30"/>
      <c r="F16" s="32"/>
      <c r="G16" s="29"/>
      <c r="H16" s="32"/>
      <c r="I16" s="31"/>
      <c r="J16" s="32"/>
      <c r="K16" s="30"/>
      <c r="L16" s="30"/>
      <c r="M16" s="30"/>
      <c r="N16" s="29"/>
      <c r="O16" s="31"/>
      <c r="P16" s="32"/>
      <c r="Q16" s="32"/>
    </row>
    <row r="17" spans="4:17" x14ac:dyDescent="0.2">
      <c r="D17" s="30"/>
      <c r="E17" s="30"/>
      <c r="F17" s="32"/>
      <c r="G17" s="29"/>
      <c r="H17" s="32"/>
      <c r="I17" s="31"/>
      <c r="J17" s="32"/>
      <c r="K17" s="30"/>
      <c r="L17" s="30"/>
      <c r="M17" s="30"/>
      <c r="N17" s="29"/>
      <c r="O17" s="31"/>
      <c r="P17" s="32"/>
      <c r="Q17" s="32"/>
    </row>
    <row r="18" spans="4:17" x14ac:dyDescent="0.2">
      <c r="D18" s="30"/>
      <c r="E18" s="30"/>
      <c r="F18" s="31"/>
      <c r="G18" s="32"/>
      <c r="H18" s="32"/>
      <c r="I18" s="30"/>
    </row>
  </sheetData>
  <mergeCells count="2">
    <mergeCell ref="A12:B15"/>
    <mergeCell ref="A11:B11"/>
  </mergeCells>
  <conditionalFormatting sqref="G6:G10">
    <cfRule type="dataBar" priority="8">
      <dataBar>
        <cfvo type="min"/>
        <cfvo type="max"/>
        <color rgb="FF638EC6"/>
      </dataBar>
    </cfRule>
  </conditionalFormatting>
  <conditionalFormatting sqref="H6:H10">
    <cfRule type="dataBar" priority="7">
      <dataBar>
        <cfvo type="min"/>
        <cfvo type="max"/>
        <color rgb="FF638EC6"/>
      </dataBar>
    </cfRule>
  </conditionalFormatting>
  <conditionalFormatting sqref="F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">
    <cfRule type="dataBar" priority="5">
      <dataBar>
        <cfvo type="min"/>
        <cfvo type="max"/>
        <color rgb="FF638EC6"/>
      </dataBar>
    </cfRule>
  </conditionalFormatting>
  <conditionalFormatting sqref="H18">
    <cfRule type="dataBar" priority="6">
      <dataBar>
        <cfvo type="min"/>
        <cfvo type="max"/>
        <color rgb="FF638EC6"/>
      </dataBar>
    </cfRule>
  </conditionalFormatting>
  <conditionalFormatting sqref="O13:O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P17">
    <cfRule type="dataBar" priority="2">
      <dataBar>
        <cfvo type="min"/>
        <cfvo type="max"/>
        <color rgb="FF638EC6"/>
      </dataBar>
    </cfRule>
  </conditionalFormatting>
  <conditionalFormatting sqref="Q13:Q17">
    <cfRule type="dataBar" priority="3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00_Introduccion</vt:lpstr>
      <vt:lpstr>Reglas_RW</vt:lpstr>
      <vt:lpstr>Base_Datos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Sánchez Elena</dc:creator>
  <cp:lastModifiedBy>Usuario de Microsoft Office</cp:lastModifiedBy>
  <dcterms:created xsi:type="dcterms:W3CDTF">2026-04-22T20:54:17Z</dcterms:created>
  <dcterms:modified xsi:type="dcterms:W3CDTF">2026-05-17T19:36:40Z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2026-04-22T21:15:49Z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98c02624-94ac-4be9-b3de-1897abfef1c8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