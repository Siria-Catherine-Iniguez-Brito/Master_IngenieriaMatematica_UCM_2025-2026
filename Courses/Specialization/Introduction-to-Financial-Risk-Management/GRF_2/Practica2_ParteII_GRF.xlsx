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319\CATI\GESTION DE RIESGOS\"/>
    </mc:Choice>
  </mc:AlternateContent>
  <bookViews>
    <workbookView xWindow="0" yWindow="0" windowWidth="28800" windowHeight="12180"/>
  </bookViews>
  <sheets>
    <sheet name="LGD" sheetId="2" r:id="rId1"/>
  </sheets>
  <externalReferences>
    <externalReference r:id="rId2"/>
  </externalReferences>
  <definedNames>
    <definedName name="EAD">LGD!$C$3</definedName>
    <definedName name="p_">[1]PD!$C$2</definedName>
    <definedName name="r_mes">LGD!$C$2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C13" i="2"/>
  <c r="D8" i="2"/>
  <c r="E8" i="2"/>
  <c r="F8" i="2"/>
  <c r="G8" i="2"/>
  <c r="H8" i="2"/>
  <c r="I8" i="2"/>
  <c r="J8" i="2"/>
  <c r="K8" i="2"/>
  <c r="L8" i="2"/>
  <c r="M8" i="2"/>
  <c r="N8" i="2"/>
  <c r="C14" i="2" s="1"/>
  <c r="D14" i="2" s="1"/>
  <c r="C8" i="2"/>
  <c r="C5" i="2" l="1" a="1"/>
  <c r="C5" i="2" s="1"/>
  <c r="C6" i="2" a="1"/>
  <c r="C6" i="2" s="1"/>
  <c r="N6" i="2"/>
  <c r="M6" i="2"/>
  <c r="L6" i="2"/>
  <c r="K6" i="2"/>
  <c r="J6" i="2"/>
  <c r="I6" i="2"/>
  <c r="H6" i="2"/>
  <c r="G6" i="2"/>
  <c r="F6" i="2"/>
  <c r="E6" i="2"/>
  <c r="D6" i="2"/>
  <c r="N5" i="2"/>
  <c r="M5" i="2"/>
  <c r="L5" i="2"/>
  <c r="K5" i="2"/>
  <c r="J5" i="2"/>
  <c r="I5" i="2"/>
  <c r="H5" i="2"/>
  <c r="G5" i="2"/>
  <c r="F5" i="2"/>
  <c r="E5" i="2"/>
  <c r="D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<sst xmlns="http://schemas.openxmlformats.org/spreadsheetml/2006/main" count="11" uniqueCount="11">
  <si>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Es un simple proceso de descuento de flujos hasta el mes 1 que es el momento de default.</t>
  </si>
  <si>
    <t>LGD</t>
  </si>
  <si>
    <t>LGD (no Disc)</t>
  </si>
  <si>
    <t>DCF</t>
  </si>
  <si>
    <t>Flujos</t>
  </si>
  <si>
    <t>EAD</t>
  </si>
  <si>
    <t>r mes</t>
  </si>
  <si>
    <t>Cuando un cliente entra en default, no se recupera todo inmediatamente. Existe un proceso de recuperación que puede durar tiempo.</t>
  </si>
  <si>
    <t xml:space="preserve">Tener en cuenta que es un proceso muy simplificado, no hay definido un periodo de regularización. </t>
  </si>
  <si>
    <t xml:space="preserve">me he traido los flujos de caja al valor actual </t>
  </si>
  <si>
    <t>QUE PORCENTAJE ESTOY PERDIENDO REALMENTE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</si>
</sst>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9"/>
      <color theme="1"/>
      <name val="Santander Text"/>
      <family val="2"/>
    </font>
    <font>
      <b/>
      <sz val="9"/>
      <color theme="0"/>
      <name val="Bahnschrift Light"/>
      <family val="2"/>
    </font>
    <font>
      <sz val="9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7" xfId="1" applyFont="1" applyFill="1" applyBorder="1" applyAlignment="1">
      <alignment horizontal="center"/>
    </xf>
    <xf numFmtId="10" fontId="3" fillId="0" borderId="3" xfId="1" applyNumberFormat="1" applyFont="1" applyBorder="1"/>
    <xf numFmtId="0" fontId="3" fillId="0" borderId="0" xfId="1" applyFont="1"/>
    <xf numFmtId="0" fontId="2" fillId="2" borderId="11" xfId="1" applyFont="1" applyFill="1" applyBorder="1" applyAlignment="1">
      <alignment horizontal="center"/>
    </xf>
    <xf numFmtId="3" fontId="3" fillId="0" borderId="1" xfId="1" applyNumberFormat="1" applyFont="1" applyBorder="1"/>
    <xf numFmtId="0" fontId="2" fillId="2" borderId="10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3" fontId="3" fillId="0" borderId="6" xfId="1" applyNumberFormat="1" applyFont="1" applyBorder="1" applyAlignment="1">
      <alignment horizontal="center"/>
    </xf>
    <xf numFmtId="3" fontId="3" fillId="0" borderId="3" xfId="1" applyNumberFormat="1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3" fontId="3" fillId="0" borderId="5" xfId="1" applyNumberFormat="1" applyFont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10" fontId="3" fillId="0" borderId="3" xfId="1" applyNumberFormat="1" applyFont="1" applyBorder="1" applyAlignment="1">
      <alignment horizontal="right"/>
    </xf>
    <xf numFmtId="0" fontId="2" fillId="3" borderId="2" xfId="1" applyFont="1" applyFill="1" applyBorder="1" applyAlignment="1">
      <alignment horizontal="center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11</xdr:col>
      <xdr:colOff>523875</xdr:colOff>
      <xdr:row>14</xdr:row>
      <xdr:rowOff>141639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1714500"/>
          <a:ext cx="2352675" cy="427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personal/n412546_gruposantander_com/Documents/Documentos/99-ECS/UCM%20-%20Gestion%20de%20Riesgos/Riesgo%20credito%20calculo%20PD%20LG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- Cliente entra en Def y sale"/>
      <sheetName val="PD"/>
    </sheetNames>
    <sheetDataSet>
      <sheetData sheetId="0"/>
      <sheetData sheetId="1">
        <row r="2">
          <cell r="C2">
            <v>0.01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workbookViewId="0">
      <selection activeCell="E13" sqref="E13"/>
    </sheetView>
  </sheetViews>
  <sheetFormatPr baseColWidth="10" defaultColWidth="8" defaultRowHeight="11.25"/>
  <cols>
    <col min="1" max="1" width="8" style="3"/>
    <col min="2" max="2" width="13.5" style="3" bestFit="1" customWidth="1"/>
    <col min="3" max="16384" width="8" style="3"/>
  </cols>
  <sheetData>
    <row r="2" spans="2:15">
      <c r="B2" s="1" t="s">
        <v>6</v>
      </c>
      <c r="C2" s="2">
        <v>4.0000000000000001E-3</v>
      </c>
    </row>
    <row r="3" spans="2:15">
      <c r="B3" s="4" t="s">
        <v>5</v>
      </c>
      <c r="C3" s="5">
        <v>100000</v>
      </c>
    </row>
    <row r="5" spans="2:15">
      <c r="C5" s="6" cm="1">
        <f t="array" ref="C5:N5">_xlfn.SEQUENCE(1,12)</f>
        <v>1</v>
      </c>
      <c r="D5" s="7">
        <v>2</v>
      </c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  <c r="M5" s="7">
        <v>11</v>
      </c>
      <c r="N5" s="8">
        <v>12</v>
      </c>
    </row>
    <row r="6" spans="2:15">
      <c r="C6" s="1" t="str" cm="1">
        <f t="array" ref="C6:N6">"Mes "&amp;_xlfn.SEQUENCE(1,12)</f>
        <v>Mes 1</v>
      </c>
      <c r="D6" s="9" t="str">
        <v>Mes 2</v>
      </c>
      <c r="E6" s="9" t="str">
        <v>Mes 3</v>
      </c>
      <c r="F6" s="9" t="str">
        <v>Mes 4</v>
      </c>
      <c r="G6" s="9" t="str">
        <v>Mes 5</v>
      </c>
      <c r="H6" s="9" t="str">
        <v>Mes 6</v>
      </c>
      <c r="I6" s="9" t="str">
        <v>Mes 7</v>
      </c>
      <c r="J6" s="9" t="str">
        <v>Mes 8</v>
      </c>
      <c r="K6" s="9" t="str">
        <v>Mes 9</v>
      </c>
      <c r="L6" s="9" t="str">
        <v>Mes 10</v>
      </c>
      <c r="M6" s="9" t="str">
        <v>Mes 11</v>
      </c>
      <c r="N6" s="10" t="str">
        <v>Mes 12</v>
      </c>
    </row>
    <row r="7" spans="2:15">
      <c r="B7" s="11" t="s">
        <v>4</v>
      </c>
      <c r="C7" s="12">
        <v>300</v>
      </c>
      <c r="D7" s="12">
        <v>-50</v>
      </c>
      <c r="E7" s="12">
        <v>300</v>
      </c>
      <c r="F7" s="12">
        <v>-100</v>
      </c>
      <c r="G7" s="12">
        <v>-100</v>
      </c>
      <c r="H7" s="12">
        <v>900</v>
      </c>
      <c r="I7" s="12">
        <v>300</v>
      </c>
      <c r="J7" s="12">
        <v>-100</v>
      </c>
      <c r="K7" s="12">
        <v>300</v>
      </c>
      <c r="L7" s="12">
        <v>200</v>
      </c>
      <c r="M7" s="12">
        <v>400</v>
      </c>
      <c r="N7" s="13">
        <f>EAD-SUM(C7:M7)</f>
        <v>97650</v>
      </c>
    </row>
    <row r="8" spans="2:15">
      <c r="B8" s="14" t="s">
        <v>3</v>
      </c>
      <c r="C8" s="15">
        <f>C7/(1+r_mes)^C5</f>
        <v>298.80478087649402</v>
      </c>
      <c r="D8" s="15">
        <f>D7/(1+r_mes)^D5</f>
        <v>-49.602387263694226</v>
      </c>
      <c r="E8" s="15">
        <f>E7/(1+r_mes)^E5</f>
        <v>296.42860914558304</v>
      </c>
      <c r="F8" s="15">
        <f>F7/(1+r_mes)^F5</f>
        <v>-98.415872890299809</v>
      </c>
      <c r="G8" s="15">
        <f>G7/(1+r_mes)^G5</f>
        <v>-98.023777779183078</v>
      </c>
      <c r="H8" s="15">
        <f>H7/(1+r_mes)^H5</f>
        <v>878.69920319984828</v>
      </c>
      <c r="I8" s="15">
        <f>I7/(1+r_mes)^I5</f>
        <v>291.73280318720066</v>
      </c>
      <c r="J8" s="15">
        <f>J7/(1+r_mes)^J5</f>
        <v>-96.856840367596476</v>
      </c>
      <c r="K8" s="15">
        <f>K7/(1+r_mes)^K5</f>
        <v>289.41286962429228</v>
      </c>
      <c r="L8" s="15">
        <f>L7/(1+r_mes)^L5</f>
        <v>192.1732202020533</v>
      </c>
      <c r="M8" s="15">
        <f>M7/(1+r_mes)^M5</f>
        <v>382.81517968536514</v>
      </c>
      <c r="N8" s="15">
        <f>N7/(1+r_mes)^N5</f>
        <v>93082.426036543577</v>
      </c>
      <c r="O8" s="3" t="s">
        <v>9</v>
      </c>
    </row>
    <row r="13" spans="2:15">
      <c r="B13" s="16" t="s">
        <v>2</v>
      </c>
      <c r="C13" s="17">
        <f>(EAD-SUM(C7:N7))/EAD</f>
        <v>0</v>
      </c>
      <c r="E13" s="3" t="s">
        <v>10</v>
      </c>
    </row>
    <row r="14" spans="2:15">
      <c r="B14" s="18" t="s">
        <v>1</v>
      </c>
      <c r="C14" s="17">
        <f>(EAD-SUM(C8:N8))/EAD</f>
        <v>4.6304061758363678E-2</v>
      </c>
      <c r="D14" s="3">
        <f>EAD*C14</f>
        <v>4630.4061758363678</v>
      </c>
    </row>
    <row r="18" spans="2:2">
      <c r="B18" s="3" t="s">
        <v>8</v>
      </c>
    </row>
    <row r="19" spans="2:2">
      <c r="B19" s="3" t="s">
        <v>7</v>
      </c>
    </row>
    <row r="20" spans="2:2">
      <c r="B20" s="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LGD</vt:lpstr>
      <vt:lpstr>EAD</vt:lpstr>
      <vt:lpstr>r_mes</vt:lpstr>
    </vt:vector>
  </TitlesOfParts>
  <Company>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Sánchez Elena</dc:creator>
  <cp:lastModifiedBy>usu319</cp:lastModifiedBy>
  <dcterms:created xsi:type="dcterms:W3CDTF">2026-04-14T18:37:43Z</dcterms:created>
  <dcterms:modified xsi:type="dcterms:W3CDTF">2026-04-27T18:54:46Z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2026-04-14T18:38:39Z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bc962e5a-1f98-4cca-8f5b-33190d0b23dc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