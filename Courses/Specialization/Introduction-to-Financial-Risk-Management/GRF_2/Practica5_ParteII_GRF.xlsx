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319\CATI\GESTION DE RIESGOS\"/>
    </mc:Choice>
  </mc:AlternateContent>
  <bookViews>
    <workbookView xWindow="0" yWindow="0" windowWidth="21570" windowHeight="8040" activeTab="2"/>
  </bookViews>
  <sheets>
    <sheet name="Hoja2" sheetId="3" r:id="rId1"/>
    <sheet name="Hoja1" sheetId="2" r:id="rId2"/>
    <sheet name="Puntuaciones_EISM_ES" sheetId="1" r:id="rId3"/>
  </sheets>
  <definedNames>
    <definedName name="_xlnm._FilterDatabase" localSheetId="2" hidden="1">Puntuaciones_EISM_ES!$A$1:$F$78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2" i="1"/>
</calcChain>
</file>

<file path=xl/sharedStrings.xml><?xml version="1.0" encoding="utf-8"?>
<sst xmlns="http://schemas.openxmlformats.org/spreadsheetml/2006/main" count="101" uniqueCount="87">
  <si>
    <t>Orden</t>
  </si>
  <si>
    <t>PaÃ­s - Entidad</t>
  </si>
  <si>
    <t>PuntuaciÃ³n total</t>
  </si>
  <si>
    <t>Â¿Es EISM?</t>
  </si>
  <si>
    <t>Juicio experto</t>
  </si>
  <si>
    <t>US - JP Morgan</t>
  </si>
  <si>
    <t>GB - HSBC</t>
  </si>
  <si>
    <t>US - Citigroup</t>
  </si>
  <si>
    <t>FR - BNP Paribas</t>
  </si>
  <si>
    <t>US - Bank of America</t>
  </si>
  <si>
    <t>CN - ICBC</t>
  </si>
  <si>
    <t>CH - UBS</t>
  </si>
  <si>
    <t>CN - Bank of China</t>
  </si>
  <si>
    <t>GB - Barclays</t>
  </si>
  <si>
    <t>US - Goldman Sachs</t>
  </si>
  <si>
    <t>CN - Agricultural Bank</t>
  </si>
  <si>
    <t>CN - China Construction</t>
  </si>
  <si>
    <t>JP - MUFG</t>
  </si>
  <si>
    <t>FR - CrÃ©dit Agricole</t>
  </si>
  <si>
    <t>DE - Deutsche Bank</t>
  </si>
  <si>
    <t>FR - SociÃ©tÃ© GÃ©nÃ©rale</t>
  </si>
  <si>
    <t>US - Morgan Stanley</t>
  </si>
  <si>
    <t>ES - Santander</t>
  </si>
  <si>
    <t>JP - SMFG</t>
  </si>
  <si>
    <t>CA - RBC</t>
  </si>
  <si>
    <t>US - Wells Fargo</t>
  </si>
  <si>
    <t>JP - Mizuho</t>
  </si>
  <si>
    <t>NL - ING Bank</t>
  </si>
  <si>
    <t>CA - Toronto Dominion</t>
  </si>
  <si>
    <t>US - BNY Mellon</t>
  </si>
  <si>
    <t>FR - BPCE</t>
  </si>
  <si>
    <t>US - State Street</t>
  </si>
  <si>
    <t>GB - Standard Chartered</t>
  </si>
  <si>
    <t>CN - BoComm</t>
  </si>
  <si>
    <t>IT - Unicredit</t>
  </si>
  <si>
    <t>CA - Bank of Montreal</t>
  </si>
  <si>
    <t>JP - Nomura</t>
  </si>
  <si>
    <t>CN - Industrial Bank</t>
  </si>
  <si>
    <t>CN - China Merchants</t>
  </si>
  <si>
    <t>DE - DZ Bank</t>
  </si>
  <si>
    <t>IT - Intesa</t>
  </si>
  <si>
    <t>CA - Bank of Nova Scotia</t>
  </si>
  <si>
    <t>CN - CITIC</t>
  </si>
  <si>
    <t>CN - Shanghai Pudong</t>
  </si>
  <si>
    <t>ES - BBVA</t>
  </si>
  <si>
    <t>FR - CrÃ©dit Mutuel</t>
  </si>
  <si>
    <t>FI - Nordea</t>
  </si>
  <si>
    <t>CN - China Minsheng</t>
  </si>
  <si>
    <t>GB - Natwest</t>
  </si>
  <si>
    <t>GB - Lloyds</t>
  </si>
  <si>
    <t>AU - ANZ</t>
  </si>
  <si>
    <t>DE - Commerzbank</t>
  </si>
  <si>
    <t>SG - DBS Bank</t>
  </si>
  <si>
    <t>CN - China Everbright</t>
  </si>
  <si>
    <t>CA - CIBC</t>
  </si>
  <si>
    <t>AU - Commonwealth</t>
  </si>
  <si>
    <t>CN - Ping An</t>
  </si>
  <si>
    <t>DK - Danske Bank</t>
  </si>
  <si>
    <t>NL - Rabobank</t>
  </si>
  <si>
    <t>AU - National Australia Bank</t>
  </si>
  <si>
    <t>JP - Norinchukin</t>
  </si>
  <si>
    <t>US - US Bancorp</t>
  </si>
  <si>
    <t>FR - Postale</t>
  </si>
  <si>
    <t>SG - OCBC</t>
  </si>
  <si>
    <t>CN - Hua Xia</t>
  </si>
  <si>
    <t>JP - SMTH</t>
  </si>
  <si>
    <t>KR - Kookmin</t>
  </si>
  <si>
    <t>AU - Westpac</t>
  </si>
  <si>
    <t>IN - State Bank of India</t>
  </si>
  <si>
    <t>KR - Shinhan</t>
  </si>
  <si>
    <t>BR - ItaÃº Unibanco</t>
  </si>
  <si>
    <t>CN - China Guangfa</t>
  </si>
  <si>
    <t>KR - Hana Financial Group</t>
  </si>
  <si>
    <t>CN - Bank of Shanghai</t>
  </si>
  <si>
    <t>CN - Bank of Beijing</t>
  </si>
  <si>
    <t>US - PNC</t>
  </si>
  <si>
    <t>CN - Bank of Jiangsu</t>
  </si>
  <si>
    <t>ES - CaixaBank</t>
  </si>
  <si>
    <t>IN - HDFC Bank Limited</t>
  </si>
  <si>
    <t>CN - China Zheshang Bank</t>
  </si>
  <si>
    <t>US - Truist</t>
  </si>
  <si>
    <t>US - Capital One</t>
  </si>
  <si>
    <t>Pais</t>
  </si>
  <si>
    <t>ES</t>
  </si>
  <si>
    <t>US</t>
  </si>
  <si>
    <t>Total general</t>
  </si>
  <si>
    <t>Suma de PuntuaciÃ³n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</si>
</sst>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Puntuaciones_EISM_ES!$D$1</c:f>
              <c:strCache>
                <c:ptCount val="1"/>
                <c:pt idx="0">
                  <c:v>PuntuaciÃ³n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18-4743-A2E9-B831BBA3AB56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8-4743-A2E9-B831BBA3AB56}"/>
              </c:ext>
            </c:extLst>
          </c:dPt>
          <c:cat>
            <c:strRef>
              <c:f>Puntuaciones_EISM_ES!$C$2:$C$78</c:f>
              <c:strCache>
                <c:ptCount val="77"/>
                <c:pt idx="0">
                  <c:v>US - JP Morgan</c:v>
                </c:pt>
                <c:pt idx="1">
                  <c:v>GB - HSBC</c:v>
                </c:pt>
                <c:pt idx="2">
                  <c:v>US - Citigroup</c:v>
                </c:pt>
                <c:pt idx="3">
                  <c:v>FR - BNP Paribas</c:v>
                </c:pt>
                <c:pt idx="4">
                  <c:v>US - Bank of America</c:v>
                </c:pt>
                <c:pt idx="5">
                  <c:v>CN - ICBC</c:v>
                </c:pt>
                <c:pt idx="6">
                  <c:v>CH - UBS</c:v>
                </c:pt>
                <c:pt idx="7">
                  <c:v>CN - Bank of China</c:v>
                </c:pt>
                <c:pt idx="8">
                  <c:v>GB - Barclays</c:v>
                </c:pt>
                <c:pt idx="9">
                  <c:v>US - Goldman Sachs</c:v>
                </c:pt>
                <c:pt idx="10">
                  <c:v>CN - Agricultural Bank</c:v>
                </c:pt>
                <c:pt idx="11">
                  <c:v>CN - China Construction</c:v>
                </c:pt>
                <c:pt idx="12">
                  <c:v>JP - MUFG</c:v>
                </c:pt>
                <c:pt idx="13">
                  <c:v>FR - CrÃ©dit Agricole</c:v>
                </c:pt>
                <c:pt idx="14">
                  <c:v>DE - Deutsche Bank</c:v>
                </c:pt>
                <c:pt idx="15">
                  <c:v>FR - SociÃ©tÃ© GÃ©nÃ©rale</c:v>
                </c:pt>
                <c:pt idx="16">
                  <c:v>US - Morgan Stanley</c:v>
                </c:pt>
                <c:pt idx="17">
                  <c:v>ES - Santander</c:v>
                </c:pt>
                <c:pt idx="18">
                  <c:v>JP - SMFG</c:v>
                </c:pt>
                <c:pt idx="19">
                  <c:v>CA - RBC</c:v>
                </c:pt>
                <c:pt idx="20">
                  <c:v>US - Wells Fargo</c:v>
                </c:pt>
                <c:pt idx="21">
                  <c:v>JP - Mizuho</c:v>
                </c:pt>
                <c:pt idx="22">
                  <c:v>NL - ING Bank</c:v>
                </c:pt>
                <c:pt idx="23">
                  <c:v>CA - Toronto Dominion</c:v>
                </c:pt>
                <c:pt idx="24">
                  <c:v>US - BNY Mellon</c:v>
                </c:pt>
                <c:pt idx="25">
                  <c:v>FR - BPCE</c:v>
                </c:pt>
                <c:pt idx="26">
                  <c:v>US - State Street</c:v>
                </c:pt>
                <c:pt idx="27">
                  <c:v>GB - Standard Chartered</c:v>
                </c:pt>
                <c:pt idx="28">
                  <c:v>CN - BoComm</c:v>
                </c:pt>
                <c:pt idx="29">
                  <c:v>IT - Unicredit</c:v>
                </c:pt>
                <c:pt idx="30">
                  <c:v>CA - Bank of Montreal</c:v>
                </c:pt>
                <c:pt idx="31">
                  <c:v>JP - Nomura</c:v>
                </c:pt>
                <c:pt idx="32">
                  <c:v>CN - Industrial Bank</c:v>
                </c:pt>
                <c:pt idx="33">
                  <c:v>CN - China Merchants</c:v>
                </c:pt>
                <c:pt idx="34">
                  <c:v>DE - DZ Bank</c:v>
                </c:pt>
                <c:pt idx="35">
                  <c:v>IT - Intesa</c:v>
                </c:pt>
                <c:pt idx="36">
                  <c:v>CA - Bank of Nova Scotia</c:v>
                </c:pt>
                <c:pt idx="37">
                  <c:v>CN - CITIC</c:v>
                </c:pt>
                <c:pt idx="38">
                  <c:v>CN - Shanghai Pudong</c:v>
                </c:pt>
                <c:pt idx="39">
                  <c:v>ES - BBVA</c:v>
                </c:pt>
                <c:pt idx="40">
                  <c:v>FR - CrÃ©dit Mutuel</c:v>
                </c:pt>
                <c:pt idx="41">
                  <c:v>FI - Nordea</c:v>
                </c:pt>
                <c:pt idx="42">
                  <c:v>CN - China Minsheng</c:v>
                </c:pt>
                <c:pt idx="43">
                  <c:v>GB - Natwest</c:v>
                </c:pt>
                <c:pt idx="44">
                  <c:v>GB - Lloyds</c:v>
                </c:pt>
                <c:pt idx="45">
                  <c:v>AU - ANZ</c:v>
                </c:pt>
                <c:pt idx="46">
                  <c:v>DE - Commerzbank</c:v>
                </c:pt>
                <c:pt idx="47">
                  <c:v>SG - DBS Bank</c:v>
                </c:pt>
                <c:pt idx="48">
                  <c:v>CN - China Everbright</c:v>
                </c:pt>
                <c:pt idx="49">
                  <c:v>CA - CIBC</c:v>
                </c:pt>
                <c:pt idx="50">
                  <c:v>AU - Commonwealth</c:v>
                </c:pt>
                <c:pt idx="51">
                  <c:v>CN - Ping An</c:v>
                </c:pt>
                <c:pt idx="52">
                  <c:v>DK - Danske Bank</c:v>
                </c:pt>
                <c:pt idx="53">
                  <c:v>NL - Rabobank</c:v>
                </c:pt>
                <c:pt idx="54">
                  <c:v>AU - National Australia Bank</c:v>
                </c:pt>
                <c:pt idx="55">
                  <c:v>JP - Norinchukin</c:v>
                </c:pt>
                <c:pt idx="56">
                  <c:v>US - US Bancorp</c:v>
                </c:pt>
                <c:pt idx="57">
                  <c:v>FR - Postale</c:v>
                </c:pt>
                <c:pt idx="58">
                  <c:v>SG - OCBC</c:v>
                </c:pt>
                <c:pt idx="59">
                  <c:v>CN - Hua Xia</c:v>
                </c:pt>
                <c:pt idx="60">
                  <c:v>JP - SMTH</c:v>
                </c:pt>
                <c:pt idx="61">
                  <c:v>KR - Kookmin</c:v>
                </c:pt>
                <c:pt idx="62">
                  <c:v>AU - Westpac</c:v>
                </c:pt>
                <c:pt idx="63">
                  <c:v>IN - State Bank of India</c:v>
                </c:pt>
                <c:pt idx="64">
                  <c:v>KR - Shinhan</c:v>
                </c:pt>
                <c:pt idx="65">
                  <c:v>BR - ItaÃº Unibanco</c:v>
                </c:pt>
                <c:pt idx="66">
                  <c:v>CN - China Guangfa</c:v>
                </c:pt>
                <c:pt idx="67">
                  <c:v>KR - Hana Financial Group</c:v>
                </c:pt>
                <c:pt idx="68">
                  <c:v>CN - Bank of Shanghai</c:v>
                </c:pt>
                <c:pt idx="69">
                  <c:v>CN - Bank of Beijing</c:v>
                </c:pt>
                <c:pt idx="70">
                  <c:v>US - PNC</c:v>
                </c:pt>
                <c:pt idx="71">
                  <c:v>CN - Bank of Jiangsu</c:v>
                </c:pt>
                <c:pt idx="72">
                  <c:v>ES - CaixaBank</c:v>
                </c:pt>
                <c:pt idx="73">
                  <c:v>IN - HDFC Bank Limited</c:v>
                </c:pt>
                <c:pt idx="74">
                  <c:v>CN - China Zheshang Bank</c:v>
                </c:pt>
                <c:pt idx="75">
                  <c:v>US - Truist</c:v>
                </c:pt>
                <c:pt idx="76">
                  <c:v>US - Capital One</c:v>
                </c:pt>
              </c:strCache>
            </c:strRef>
          </c:cat>
          <c:val>
            <c:numRef>
              <c:f>Puntuaciones_EISM_ES!$D$2:$D$78</c:f>
              <c:numCache>
                <c:formatCode>General</c:formatCode>
                <c:ptCount val="77"/>
                <c:pt idx="0">
                  <c:v>442</c:v>
                </c:pt>
                <c:pt idx="1">
                  <c:v>372</c:v>
                </c:pt>
                <c:pt idx="2">
                  <c:v>361</c:v>
                </c:pt>
                <c:pt idx="3">
                  <c:v>335</c:v>
                </c:pt>
                <c:pt idx="4">
                  <c:v>326</c:v>
                </c:pt>
                <c:pt idx="5">
                  <c:v>299</c:v>
                </c:pt>
                <c:pt idx="6">
                  <c:v>286</c:v>
                </c:pt>
                <c:pt idx="7">
                  <c:v>282</c:v>
                </c:pt>
                <c:pt idx="8">
                  <c:v>276</c:v>
                </c:pt>
                <c:pt idx="9">
                  <c:v>261</c:v>
                </c:pt>
                <c:pt idx="10">
                  <c:v>257</c:v>
                </c:pt>
                <c:pt idx="11">
                  <c:v>249</c:v>
                </c:pt>
                <c:pt idx="12">
                  <c:v>247</c:v>
                </c:pt>
                <c:pt idx="13">
                  <c:v>244</c:v>
                </c:pt>
                <c:pt idx="14">
                  <c:v>234</c:v>
                </c:pt>
                <c:pt idx="15">
                  <c:v>211</c:v>
                </c:pt>
                <c:pt idx="16">
                  <c:v>204</c:v>
                </c:pt>
                <c:pt idx="17">
                  <c:v>200</c:v>
                </c:pt>
                <c:pt idx="18">
                  <c:v>173</c:v>
                </c:pt>
                <c:pt idx="19">
                  <c:v>172</c:v>
                </c:pt>
                <c:pt idx="20">
                  <c:v>164</c:v>
                </c:pt>
                <c:pt idx="21">
                  <c:v>162</c:v>
                </c:pt>
                <c:pt idx="22">
                  <c:v>150</c:v>
                </c:pt>
                <c:pt idx="23">
                  <c:v>148</c:v>
                </c:pt>
                <c:pt idx="24">
                  <c:v>148</c:v>
                </c:pt>
                <c:pt idx="25">
                  <c:v>146</c:v>
                </c:pt>
                <c:pt idx="26">
                  <c:v>141</c:v>
                </c:pt>
                <c:pt idx="27">
                  <c:v>139</c:v>
                </c:pt>
                <c:pt idx="28">
                  <c:v>129</c:v>
                </c:pt>
                <c:pt idx="29">
                  <c:v>112</c:v>
                </c:pt>
                <c:pt idx="30">
                  <c:v>110</c:v>
                </c:pt>
                <c:pt idx="31">
                  <c:v>106</c:v>
                </c:pt>
                <c:pt idx="32">
                  <c:v>103</c:v>
                </c:pt>
                <c:pt idx="33">
                  <c:v>102</c:v>
                </c:pt>
                <c:pt idx="34">
                  <c:v>96</c:v>
                </c:pt>
                <c:pt idx="35">
                  <c:v>96</c:v>
                </c:pt>
                <c:pt idx="36">
                  <c:v>94</c:v>
                </c:pt>
                <c:pt idx="37">
                  <c:v>88</c:v>
                </c:pt>
                <c:pt idx="38">
                  <c:v>86</c:v>
                </c:pt>
                <c:pt idx="39">
                  <c:v>86</c:v>
                </c:pt>
                <c:pt idx="40">
                  <c:v>81</c:v>
                </c:pt>
                <c:pt idx="41">
                  <c:v>79</c:v>
                </c:pt>
                <c:pt idx="42">
                  <c:v>76</c:v>
                </c:pt>
                <c:pt idx="43">
                  <c:v>75</c:v>
                </c:pt>
                <c:pt idx="44">
                  <c:v>72</c:v>
                </c:pt>
                <c:pt idx="45">
                  <c:v>71</c:v>
                </c:pt>
                <c:pt idx="46">
                  <c:v>71</c:v>
                </c:pt>
                <c:pt idx="47">
                  <c:v>67</c:v>
                </c:pt>
                <c:pt idx="48">
                  <c:v>66</c:v>
                </c:pt>
                <c:pt idx="49">
                  <c:v>63</c:v>
                </c:pt>
                <c:pt idx="50">
                  <c:v>60</c:v>
                </c:pt>
                <c:pt idx="51">
                  <c:v>57</c:v>
                </c:pt>
                <c:pt idx="52">
                  <c:v>57</c:v>
                </c:pt>
                <c:pt idx="53">
                  <c:v>55</c:v>
                </c:pt>
                <c:pt idx="54">
                  <c:v>53</c:v>
                </c:pt>
                <c:pt idx="55">
                  <c:v>52</c:v>
                </c:pt>
                <c:pt idx="56">
                  <c:v>48</c:v>
                </c:pt>
                <c:pt idx="57">
                  <c:v>47</c:v>
                </c:pt>
                <c:pt idx="58">
                  <c:v>47</c:v>
                </c:pt>
                <c:pt idx="59">
                  <c:v>46</c:v>
                </c:pt>
                <c:pt idx="60">
                  <c:v>45</c:v>
                </c:pt>
                <c:pt idx="61">
                  <c:v>45</c:v>
                </c:pt>
                <c:pt idx="62">
                  <c:v>43</c:v>
                </c:pt>
                <c:pt idx="63">
                  <c:v>42</c:v>
                </c:pt>
                <c:pt idx="64">
                  <c:v>41</c:v>
                </c:pt>
                <c:pt idx="65">
                  <c:v>40</c:v>
                </c:pt>
                <c:pt idx="66">
                  <c:v>39</c:v>
                </c:pt>
                <c:pt idx="67">
                  <c:v>39</c:v>
                </c:pt>
                <c:pt idx="68">
                  <c:v>34</c:v>
                </c:pt>
                <c:pt idx="69">
                  <c:v>33</c:v>
                </c:pt>
                <c:pt idx="70">
                  <c:v>32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29</c:v>
                </c:pt>
                <c:pt idx="75">
                  <c:v>25</c:v>
                </c:pt>
                <c:pt idx="7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8-4743-A2E9-B831BBA3A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569552"/>
        <c:axId val="1766581616"/>
      </c:barChart>
      <c:catAx>
        <c:axId val="176656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6581616"/>
        <c:crosses val="autoZero"/>
        <c:auto val="1"/>
        <c:lblAlgn val="ctr"/>
        <c:lblOffset val="100"/>
        <c:noMultiLvlLbl val="0"/>
      </c:catAx>
      <c:valAx>
        <c:axId val="17665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656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638173</xdr:colOff>
      <xdr:row>12</xdr:row>
      <xdr:rowOff>76198</xdr:rowOff>
    </xdr:from>
    <xdr:to>
      <xdr:col>33</xdr:col>
      <xdr:colOff>110433</xdr:colOff>
      <xdr:row>48</xdr:row>
      <xdr:rowOff>110435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319" refreshedDate="46141.814327430555" createdVersion="6" refreshedVersion="6" minRefreshableVersion="3" recordCount="78">
  <cacheSource type="worksheet">
    <worksheetSource ref="B1:F1048576" sheet="Puntuaciones_EISM_ES"/>
  </cacheSource>
  <cacheFields count="5">
    <cacheField name="Pais" numFmtId="0">
      <sharedItems containsBlank="1" count="19">
        <s v="US"/>
        <s v="GB"/>
        <s v="FR"/>
        <s v="CN"/>
        <s v="CH"/>
        <s v="JP"/>
        <s v="DE"/>
        <s v="ES"/>
        <s v="CA"/>
        <s v="NL"/>
        <s v="IT"/>
        <s v="FI"/>
        <s v="AU"/>
        <s v="SG"/>
        <s v="DK"/>
        <s v="KR"/>
        <s v="IN"/>
        <s v="BR"/>
        <m/>
      </sharedItems>
    </cacheField>
    <cacheField name="PaÃ­s - Entidad" numFmtId="0">
      <sharedItems containsBlank="1" count="78">
        <s v="US - JP Morgan"/>
        <s v="GB - HSBC"/>
        <s v="US - Citigroup"/>
        <s v="FR - BNP Paribas"/>
        <s v="US - Bank of America"/>
        <s v="CN - ICBC"/>
        <s v="CH - UBS"/>
        <s v="CN - Bank of China"/>
        <s v="GB - Barclays"/>
        <s v="US - Goldman Sachs"/>
        <s v="CN - Agricultural Bank"/>
        <s v="CN - China Construction"/>
        <s v="JP - MUFG"/>
        <s v="FR - CrÃ©dit Agricole"/>
        <s v="DE - Deutsche Bank"/>
        <s v="FR - SociÃ©tÃ© GÃ©nÃ©rale"/>
        <s v="US - Morgan Stanley"/>
        <s v="ES - Santander"/>
        <s v="JP - SMFG"/>
        <s v="CA - RBC"/>
        <s v="US - Wells Fargo"/>
        <s v="JP - Mizuho"/>
        <s v="NL - ING Bank"/>
        <s v="CA - Toronto Dominion"/>
        <s v="US - BNY Mellon"/>
        <s v="FR - BPCE"/>
        <s v="US - State Street"/>
        <s v="GB - Standard Chartered"/>
        <s v="CN - BoComm"/>
        <s v="IT - Unicredit"/>
        <s v="CA - Bank of Montreal"/>
        <s v="JP - Nomura"/>
        <s v="CN - Industrial Bank"/>
        <s v="CN - China Merchants"/>
        <s v="DE - DZ Bank"/>
        <s v="IT - Intesa"/>
        <s v="CA - Bank of Nova Scotia"/>
        <s v="CN - CITIC"/>
        <s v="CN - Shanghai Pudong"/>
        <s v="ES - BBVA"/>
        <s v="FR - CrÃ©dit Mutuel"/>
        <s v="FI - Nordea"/>
        <s v="CN - China Minsheng"/>
        <s v="GB - Natwest"/>
        <s v="GB - Lloyds"/>
        <s v="AU - ANZ"/>
        <s v="DE - Commerzbank"/>
        <s v="SG - DBS Bank"/>
        <s v="CN - China Everbright"/>
        <s v="CA - CIBC"/>
        <s v="AU - Commonwealth"/>
        <s v="CN - Ping An"/>
        <s v="DK - Danske Bank"/>
        <s v="NL - Rabobank"/>
        <s v="AU - National Australia Bank"/>
        <s v="JP - Norinchukin"/>
        <s v="US - US Bancorp"/>
        <s v="FR - Postale"/>
        <s v="SG - OCBC"/>
        <s v="CN - Hua Xia"/>
        <s v="JP - SMTH"/>
        <s v="KR - Kookmin"/>
        <s v="AU - Westpac"/>
        <s v="IN - State Bank of India"/>
        <s v="KR - Shinhan"/>
        <s v="BR - ItaÃº Unibanco"/>
        <s v="CN - China Guangfa"/>
        <s v="KR - Hana Financial Group"/>
        <s v="CN - Bank of Shanghai"/>
        <s v="CN - Bank of Beijing"/>
        <s v="US - PNC"/>
        <s v="CN - Bank of Jiangsu"/>
        <s v="ES - CaixaBank"/>
        <s v="IN - HDFC Bank Limited"/>
        <s v="CN - China Zheshang Bank"/>
        <s v="US - Truist"/>
        <s v="US - Capital One"/>
        <m/>
      </sharedItems>
    </cacheField>
    <cacheField name="PuntuaciÃ³n total" numFmtId="0">
      <sharedItems containsString="0" containsBlank="1" containsNumber="1" containsInteger="1" minValue="24" maxValue="442"/>
    </cacheField>
    <cacheField name="Â¿Es EISM?" numFmtId="0">
      <sharedItems containsString="0" containsBlank="1" containsNumber="1" containsInteger="1" minValue="0" maxValue="1" count="3">
        <n v="1"/>
        <n v="0"/>
        <m/>
      </sharedItems>
    </cacheField>
    <cacheField name="Juicio experto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">
  <r>
    <x v="0"/>
    <x v="0"/>
    <n v="442"/>
    <x v="0"/>
    <x v="0"/>
  </r>
  <r>
    <x v="1"/>
    <x v="1"/>
    <n v="372"/>
    <x v="0"/>
    <x v="0"/>
  </r>
  <r>
    <x v="0"/>
    <x v="2"/>
    <n v="361"/>
    <x v="0"/>
    <x v="0"/>
  </r>
  <r>
    <x v="2"/>
    <x v="3"/>
    <n v="335"/>
    <x v="0"/>
    <x v="0"/>
  </r>
  <r>
    <x v="0"/>
    <x v="4"/>
    <n v="326"/>
    <x v="0"/>
    <x v="0"/>
  </r>
  <r>
    <x v="3"/>
    <x v="5"/>
    <n v="299"/>
    <x v="0"/>
    <x v="0"/>
  </r>
  <r>
    <x v="4"/>
    <x v="6"/>
    <n v="286"/>
    <x v="0"/>
    <x v="0"/>
  </r>
  <r>
    <x v="3"/>
    <x v="7"/>
    <n v="282"/>
    <x v="0"/>
    <x v="0"/>
  </r>
  <r>
    <x v="1"/>
    <x v="8"/>
    <n v="276"/>
    <x v="0"/>
    <x v="0"/>
  </r>
  <r>
    <x v="0"/>
    <x v="9"/>
    <n v="261"/>
    <x v="0"/>
    <x v="0"/>
  </r>
  <r>
    <x v="3"/>
    <x v="10"/>
    <n v="257"/>
    <x v="0"/>
    <x v="0"/>
  </r>
  <r>
    <x v="3"/>
    <x v="11"/>
    <n v="249"/>
    <x v="0"/>
    <x v="0"/>
  </r>
  <r>
    <x v="5"/>
    <x v="12"/>
    <n v="247"/>
    <x v="0"/>
    <x v="0"/>
  </r>
  <r>
    <x v="2"/>
    <x v="13"/>
    <n v="244"/>
    <x v="0"/>
    <x v="0"/>
  </r>
  <r>
    <x v="6"/>
    <x v="14"/>
    <n v="234"/>
    <x v="0"/>
    <x v="0"/>
  </r>
  <r>
    <x v="2"/>
    <x v="15"/>
    <n v="211"/>
    <x v="0"/>
    <x v="0"/>
  </r>
  <r>
    <x v="0"/>
    <x v="16"/>
    <n v="204"/>
    <x v="0"/>
    <x v="1"/>
  </r>
  <r>
    <x v="7"/>
    <x v="17"/>
    <n v="200"/>
    <x v="0"/>
    <x v="0"/>
  </r>
  <r>
    <x v="5"/>
    <x v="18"/>
    <n v="173"/>
    <x v="0"/>
    <x v="0"/>
  </r>
  <r>
    <x v="8"/>
    <x v="19"/>
    <n v="172"/>
    <x v="0"/>
    <x v="0"/>
  </r>
  <r>
    <x v="0"/>
    <x v="20"/>
    <n v="164"/>
    <x v="0"/>
    <x v="0"/>
  </r>
  <r>
    <x v="5"/>
    <x v="21"/>
    <n v="162"/>
    <x v="0"/>
    <x v="0"/>
  </r>
  <r>
    <x v="9"/>
    <x v="22"/>
    <n v="150"/>
    <x v="0"/>
    <x v="0"/>
  </r>
  <r>
    <x v="8"/>
    <x v="23"/>
    <n v="148"/>
    <x v="0"/>
    <x v="0"/>
  </r>
  <r>
    <x v="0"/>
    <x v="24"/>
    <n v="148"/>
    <x v="0"/>
    <x v="0"/>
  </r>
  <r>
    <x v="2"/>
    <x v="25"/>
    <n v="146"/>
    <x v="0"/>
    <x v="0"/>
  </r>
  <r>
    <x v="0"/>
    <x v="26"/>
    <n v="141"/>
    <x v="0"/>
    <x v="0"/>
  </r>
  <r>
    <x v="1"/>
    <x v="27"/>
    <n v="139"/>
    <x v="0"/>
    <x v="0"/>
  </r>
  <r>
    <x v="3"/>
    <x v="28"/>
    <n v="129"/>
    <x v="0"/>
    <x v="0"/>
  </r>
  <r>
    <x v="10"/>
    <x v="29"/>
    <n v="112"/>
    <x v="1"/>
    <x v="0"/>
  </r>
  <r>
    <x v="8"/>
    <x v="30"/>
    <n v="110"/>
    <x v="1"/>
    <x v="0"/>
  </r>
  <r>
    <x v="5"/>
    <x v="31"/>
    <n v="106"/>
    <x v="1"/>
    <x v="0"/>
  </r>
  <r>
    <x v="3"/>
    <x v="32"/>
    <n v="103"/>
    <x v="1"/>
    <x v="0"/>
  </r>
  <r>
    <x v="3"/>
    <x v="33"/>
    <n v="102"/>
    <x v="1"/>
    <x v="0"/>
  </r>
  <r>
    <x v="6"/>
    <x v="34"/>
    <n v="96"/>
    <x v="1"/>
    <x v="0"/>
  </r>
  <r>
    <x v="10"/>
    <x v="35"/>
    <n v="96"/>
    <x v="1"/>
    <x v="0"/>
  </r>
  <r>
    <x v="8"/>
    <x v="36"/>
    <n v="94"/>
    <x v="1"/>
    <x v="0"/>
  </r>
  <r>
    <x v="3"/>
    <x v="37"/>
    <n v="88"/>
    <x v="1"/>
    <x v="0"/>
  </r>
  <r>
    <x v="3"/>
    <x v="38"/>
    <n v="86"/>
    <x v="1"/>
    <x v="0"/>
  </r>
  <r>
    <x v="7"/>
    <x v="39"/>
    <n v="86"/>
    <x v="1"/>
    <x v="0"/>
  </r>
  <r>
    <x v="2"/>
    <x v="40"/>
    <n v="81"/>
    <x v="1"/>
    <x v="0"/>
  </r>
  <r>
    <x v="11"/>
    <x v="41"/>
    <n v="79"/>
    <x v="1"/>
    <x v="0"/>
  </r>
  <r>
    <x v="3"/>
    <x v="42"/>
    <n v="76"/>
    <x v="1"/>
    <x v="0"/>
  </r>
  <r>
    <x v="1"/>
    <x v="43"/>
    <n v="75"/>
    <x v="1"/>
    <x v="0"/>
  </r>
  <r>
    <x v="1"/>
    <x v="44"/>
    <n v="72"/>
    <x v="1"/>
    <x v="0"/>
  </r>
  <r>
    <x v="12"/>
    <x v="45"/>
    <n v="71"/>
    <x v="1"/>
    <x v="0"/>
  </r>
  <r>
    <x v="6"/>
    <x v="46"/>
    <n v="71"/>
    <x v="1"/>
    <x v="0"/>
  </r>
  <r>
    <x v="13"/>
    <x v="47"/>
    <n v="67"/>
    <x v="1"/>
    <x v="0"/>
  </r>
  <r>
    <x v="3"/>
    <x v="48"/>
    <n v="66"/>
    <x v="1"/>
    <x v="0"/>
  </r>
  <r>
    <x v="8"/>
    <x v="49"/>
    <n v="63"/>
    <x v="1"/>
    <x v="0"/>
  </r>
  <r>
    <x v="12"/>
    <x v="50"/>
    <n v="60"/>
    <x v="1"/>
    <x v="0"/>
  </r>
  <r>
    <x v="3"/>
    <x v="51"/>
    <n v="57"/>
    <x v="1"/>
    <x v="0"/>
  </r>
  <r>
    <x v="14"/>
    <x v="52"/>
    <n v="57"/>
    <x v="1"/>
    <x v="0"/>
  </r>
  <r>
    <x v="9"/>
    <x v="53"/>
    <n v="55"/>
    <x v="1"/>
    <x v="0"/>
  </r>
  <r>
    <x v="12"/>
    <x v="54"/>
    <n v="53"/>
    <x v="1"/>
    <x v="0"/>
  </r>
  <r>
    <x v="5"/>
    <x v="55"/>
    <n v="52"/>
    <x v="1"/>
    <x v="0"/>
  </r>
  <r>
    <x v="0"/>
    <x v="56"/>
    <n v="48"/>
    <x v="1"/>
    <x v="0"/>
  </r>
  <r>
    <x v="2"/>
    <x v="57"/>
    <n v="47"/>
    <x v="1"/>
    <x v="0"/>
  </r>
  <r>
    <x v="13"/>
    <x v="58"/>
    <n v="47"/>
    <x v="1"/>
    <x v="0"/>
  </r>
  <r>
    <x v="3"/>
    <x v="59"/>
    <n v="46"/>
    <x v="1"/>
    <x v="0"/>
  </r>
  <r>
    <x v="5"/>
    <x v="60"/>
    <n v="45"/>
    <x v="1"/>
    <x v="0"/>
  </r>
  <r>
    <x v="15"/>
    <x v="61"/>
    <n v="45"/>
    <x v="1"/>
    <x v="0"/>
  </r>
  <r>
    <x v="12"/>
    <x v="62"/>
    <n v="43"/>
    <x v="1"/>
    <x v="0"/>
  </r>
  <r>
    <x v="16"/>
    <x v="63"/>
    <n v="42"/>
    <x v="1"/>
    <x v="0"/>
  </r>
  <r>
    <x v="15"/>
    <x v="64"/>
    <n v="41"/>
    <x v="1"/>
    <x v="0"/>
  </r>
  <r>
    <x v="17"/>
    <x v="65"/>
    <n v="40"/>
    <x v="1"/>
    <x v="0"/>
  </r>
  <r>
    <x v="3"/>
    <x v="66"/>
    <n v="39"/>
    <x v="1"/>
    <x v="0"/>
  </r>
  <r>
    <x v="15"/>
    <x v="67"/>
    <n v="39"/>
    <x v="1"/>
    <x v="0"/>
  </r>
  <r>
    <x v="3"/>
    <x v="68"/>
    <n v="34"/>
    <x v="1"/>
    <x v="0"/>
  </r>
  <r>
    <x v="3"/>
    <x v="69"/>
    <n v="33"/>
    <x v="1"/>
    <x v="0"/>
  </r>
  <r>
    <x v="0"/>
    <x v="70"/>
    <n v="32"/>
    <x v="1"/>
    <x v="0"/>
  </r>
  <r>
    <x v="3"/>
    <x v="71"/>
    <n v="30"/>
    <x v="1"/>
    <x v="0"/>
  </r>
  <r>
    <x v="7"/>
    <x v="72"/>
    <n v="30"/>
    <x v="1"/>
    <x v="0"/>
  </r>
  <r>
    <x v="16"/>
    <x v="73"/>
    <n v="30"/>
    <x v="1"/>
    <x v="0"/>
  </r>
  <r>
    <x v="3"/>
    <x v="74"/>
    <n v="29"/>
    <x v="1"/>
    <x v="0"/>
  </r>
  <r>
    <x v="0"/>
    <x v="75"/>
    <n v="25"/>
    <x v="1"/>
    <x v="0"/>
  </r>
  <r>
    <x v="0"/>
    <x v="76"/>
    <n v="24"/>
    <x v="1"/>
    <x v="0"/>
  </r>
  <r>
    <x v="18"/>
    <x v="77"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4:C6" firstHeaderRow="1" firstDataRow="1" firstDataCol="2" rowPageCount="2" colPageCount="1"/>
  <pivotFields count="5">
    <pivotField axis="axisRow" compact="0" outline="0" showAll="0">
      <items count="20">
        <item x="12"/>
        <item x="17"/>
        <item sd="0" x="8"/>
        <item sd="0" x="4"/>
        <item sd="0" x="3"/>
        <item sd="0" x="6"/>
        <item sd="0" x="14"/>
        <item sd="0" x="7"/>
        <item sd="0" x="11"/>
        <item sd="0" x="2"/>
        <item sd="0" x="1"/>
        <item sd="0" x="16"/>
        <item sd="0" x="10"/>
        <item sd="0" x="5"/>
        <item sd="0" x="15"/>
        <item sd="0" x="9"/>
        <item sd="0" x="13"/>
        <item sd="0" x="0"/>
        <item sd="0" x="18"/>
        <item t="default"/>
      </items>
    </pivotField>
    <pivotField axis="axisRow" compact="0" outline="0" showAll="0">
      <items count="79">
        <item x="45"/>
        <item x="50"/>
        <item x="54"/>
        <item x="62"/>
        <item x="65"/>
        <item x="30"/>
        <item x="36"/>
        <item x="49"/>
        <item x="19"/>
        <item x="23"/>
        <item x="6"/>
        <item x="10"/>
        <item x="69"/>
        <item x="7"/>
        <item x="71"/>
        <item x="68"/>
        <item x="28"/>
        <item x="11"/>
        <item x="48"/>
        <item x="66"/>
        <item x="33"/>
        <item x="42"/>
        <item x="74"/>
        <item x="37"/>
        <item x="59"/>
        <item x="5"/>
        <item x="32"/>
        <item x="51"/>
        <item x="38"/>
        <item x="46"/>
        <item x="14"/>
        <item x="34"/>
        <item x="52"/>
        <item x="39"/>
        <item x="72"/>
        <item x="17"/>
        <item x="41"/>
        <item x="3"/>
        <item x="25"/>
        <item x="13"/>
        <item x="40"/>
        <item x="57"/>
        <item x="15"/>
        <item x="8"/>
        <item x="1"/>
        <item x="44"/>
        <item x="43"/>
        <item x="27"/>
        <item x="73"/>
        <item x="63"/>
        <item x="35"/>
        <item x="29"/>
        <item x="21"/>
        <item x="12"/>
        <item x="31"/>
        <item x="55"/>
        <item x="18"/>
        <item x="60"/>
        <item x="67"/>
        <item x="61"/>
        <item x="64"/>
        <item x="22"/>
        <item x="53"/>
        <item x="47"/>
        <item x="58"/>
        <item x="4"/>
        <item x="24"/>
        <item x="76"/>
        <item x="2"/>
        <item x="9"/>
        <item x="0"/>
        <item x="16"/>
        <item x="70"/>
        <item x="26"/>
        <item x="75"/>
        <item x="56"/>
        <item x="20"/>
        <item x="77"/>
        <item t="default"/>
      </items>
    </pivotField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0"/>
    <field x="1"/>
  </rowFields>
  <rowItems count="2">
    <i>
      <x v="17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PuntuaciÃ³n total" fld="2" baseField="0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E4" totalsRowShown="0">
  <autoFilter ref="A1:E4"/>
  <tableColumns count="5">
    <tableColumn id="1" name="Pais"/>
    <tableColumn id="2" name="PaÃ­s - Entidad"/>
    <tableColumn id="3" name="PuntuaciÃ³n total"/>
    <tableColumn id="4" name="Â¿Es EISM?"/>
    <tableColumn id="5" name="Juicio exper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G11" sqref="G11"/>
    </sheetView>
  </sheetViews>
  <sheetFormatPr baseColWidth="10" defaultRowHeight="15" x14ac:dyDescent="0.25"/>
  <cols>
    <col min="2" max="2" width="16.42578125" customWidth="1"/>
    <col min="3" max="3" width="18.5703125" customWidth="1"/>
    <col min="4" max="4" width="13.140625" customWidth="1"/>
    <col min="5" max="5" width="15.5703125" customWidth="1"/>
  </cols>
  <sheetData>
    <row r="1" spans="1:5" x14ac:dyDescent="0.25">
      <c r="A1" t="s">
        <v>82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</v>
      </c>
      <c r="B2" t="s">
        <v>44</v>
      </c>
      <c r="C2">
        <v>86</v>
      </c>
      <c r="D2">
        <v>0</v>
      </c>
      <c r="E2">
        <v>0</v>
      </c>
    </row>
    <row r="3" spans="1:5" x14ac:dyDescent="0.25">
      <c r="A3" t="s">
        <v>83</v>
      </c>
      <c r="B3" t="s">
        <v>77</v>
      </c>
      <c r="C3">
        <v>30</v>
      </c>
      <c r="D3">
        <v>0</v>
      </c>
      <c r="E3">
        <v>0</v>
      </c>
    </row>
    <row r="4" spans="1:5" x14ac:dyDescent="0.25">
      <c r="A4" t="s">
        <v>83</v>
      </c>
      <c r="B4" t="s">
        <v>22</v>
      </c>
      <c r="C4">
        <v>200</v>
      </c>
      <c r="D4">
        <v>1</v>
      </c>
      <c r="E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12" sqref="A12"/>
    </sheetView>
  </sheetViews>
  <sheetFormatPr baseColWidth="10" defaultRowHeight="15" x14ac:dyDescent="0.25"/>
  <cols>
    <col min="1" max="1" width="29.85546875" customWidth="1"/>
    <col min="2" max="2" width="16.5703125" customWidth="1"/>
    <col min="3" max="3" width="24.7109375" customWidth="1"/>
    <col min="4" max="5" width="13.28515625" bestFit="1" customWidth="1"/>
    <col min="6" max="6" width="12.5703125" bestFit="1" customWidth="1"/>
  </cols>
  <sheetData>
    <row r="1" spans="1:3" x14ac:dyDescent="0.25">
      <c r="A1" s="3" t="s">
        <v>3</v>
      </c>
      <c r="B1" s="4">
        <v>1</v>
      </c>
    </row>
    <row r="2" spans="1:3" x14ac:dyDescent="0.25">
      <c r="A2" s="3" t="s">
        <v>4</v>
      </c>
      <c r="B2" s="4">
        <v>1</v>
      </c>
    </row>
    <row r="4" spans="1:3" x14ac:dyDescent="0.25">
      <c r="A4" s="3" t="s">
        <v>82</v>
      </c>
      <c r="B4" s="3" t="s">
        <v>1</v>
      </c>
      <c r="C4" t="s">
        <v>86</v>
      </c>
    </row>
    <row r="5" spans="1:3" x14ac:dyDescent="0.25">
      <c r="A5" t="s">
        <v>84</v>
      </c>
      <c r="C5" s="5">
        <v>204</v>
      </c>
    </row>
    <row r="6" spans="1:3" x14ac:dyDescent="0.25">
      <c r="A6" t="s">
        <v>85</v>
      </c>
      <c r="C6" s="5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zoomScale="69" zoomScaleNormal="69" workbookViewId="0">
      <selection activeCell="B1" sqref="B1:F1048576"/>
    </sheetView>
  </sheetViews>
  <sheetFormatPr baseColWidth="10" defaultRowHeight="15" x14ac:dyDescent="0.25"/>
  <cols>
    <col min="1" max="1" width="8.85546875" bestFit="1" customWidth="1"/>
    <col min="2" max="2" width="6.85546875" bestFit="1" customWidth="1"/>
    <col min="3" max="3" width="28.28515625" bestFit="1" customWidth="1"/>
    <col min="4" max="4" width="18.85546875" bestFit="1" customWidth="1"/>
    <col min="5" max="5" width="13.140625" bestFit="1" customWidth="1"/>
    <col min="6" max="6" width="15.7109375" bestFit="1" customWidth="1"/>
  </cols>
  <sheetData>
    <row r="1" spans="1:6" x14ac:dyDescent="0.25">
      <c r="A1" s="2" t="s">
        <v>0</v>
      </c>
      <c r="B1" s="2" t="s">
        <v>82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>
        <v>1</v>
      </c>
      <c r="B2" t="str">
        <f t="shared" ref="B2:B33" si="0">LEFT(C2,2)</f>
        <v>US</v>
      </c>
      <c r="C2" t="s">
        <v>5</v>
      </c>
      <c r="D2">
        <v>442</v>
      </c>
      <c r="E2">
        <v>1</v>
      </c>
      <c r="F2">
        <v>0</v>
      </c>
    </row>
    <row r="3" spans="1:6" x14ac:dyDescent="0.25">
      <c r="A3">
        <v>2</v>
      </c>
      <c r="B3" t="str">
        <f t="shared" si="0"/>
        <v>GB</v>
      </c>
      <c r="C3" t="s">
        <v>6</v>
      </c>
      <c r="D3">
        <v>372</v>
      </c>
      <c r="E3">
        <v>1</v>
      </c>
      <c r="F3">
        <v>0</v>
      </c>
    </row>
    <row r="4" spans="1:6" x14ac:dyDescent="0.25">
      <c r="A4">
        <v>3</v>
      </c>
      <c r="B4" t="str">
        <f t="shared" si="0"/>
        <v>US</v>
      </c>
      <c r="C4" t="s">
        <v>7</v>
      </c>
      <c r="D4">
        <v>361</v>
      </c>
      <c r="E4">
        <v>1</v>
      </c>
      <c r="F4">
        <v>0</v>
      </c>
    </row>
    <row r="5" spans="1:6" x14ac:dyDescent="0.25">
      <c r="A5">
        <v>4</v>
      </c>
      <c r="B5" t="str">
        <f t="shared" si="0"/>
        <v>FR</v>
      </c>
      <c r="C5" t="s">
        <v>8</v>
      </c>
      <c r="D5">
        <v>335</v>
      </c>
      <c r="E5">
        <v>1</v>
      </c>
      <c r="F5">
        <v>0</v>
      </c>
    </row>
    <row r="6" spans="1:6" x14ac:dyDescent="0.25">
      <c r="A6">
        <v>5</v>
      </c>
      <c r="B6" t="str">
        <f t="shared" si="0"/>
        <v>US</v>
      </c>
      <c r="C6" t="s">
        <v>9</v>
      </c>
      <c r="D6">
        <v>326</v>
      </c>
      <c r="E6">
        <v>1</v>
      </c>
      <c r="F6">
        <v>0</v>
      </c>
    </row>
    <row r="7" spans="1:6" x14ac:dyDescent="0.25">
      <c r="A7">
        <v>6</v>
      </c>
      <c r="B7" t="str">
        <f t="shared" si="0"/>
        <v>CN</v>
      </c>
      <c r="C7" t="s">
        <v>10</v>
      </c>
      <c r="D7">
        <v>299</v>
      </c>
      <c r="E7">
        <v>1</v>
      </c>
      <c r="F7">
        <v>0</v>
      </c>
    </row>
    <row r="8" spans="1:6" x14ac:dyDescent="0.25">
      <c r="A8">
        <v>7</v>
      </c>
      <c r="B8" t="str">
        <f t="shared" si="0"/>
        <v>CH</v>
      </c>
      <c r="C8" t="s">
        <v>11</v>
      </c>
      <c r="D8">
        <v>286</v>
      </c>
      <c r="E8">
        <v>1</v>
      </c>
      <c r="F8">
        <v>0</v>
      </c>
    </row>
    <row r="9" spans="1:6" x14ac:dyDescent="0.25">
      <c r="A9">
        <v>8</v>
      </c>
      <c r="B9" t="str">
        <f t="shared" si="0"/>
        <v>CN</v>
      </c>
      <c r="C9" t="s">
        <v>12</v>
      </c>
      <c r="D9">
        <v>282</v>
      </c>
      <c r="E9">
        <v>1</v>
      </c>
      <c r="F9">
        <v>0</v>
      </c>
    </row>
    <row r="10" spans="1:6" x14ac:dyDescent="0.25">
      <c r="A10">
        <v>9</v>
      </c>
      <c r="B10" t="str">
        <f t="shared" si="0"/>
        <v>GB</v>
      </c>
      <c r="C10" t="s">
        <v>13</v>
      </c>
      <c r="D10">
        <v>276</v>
      </c>
      <c r="E10">
        <v>1</v>
      </c>
      <c r="F10">
        <v>0</v>
      </c>
    </row>
    <row r="11" spans="1:6" x14ac:dyDescent="0.25">
      <c r="A11">
        <v>10</v>
      </c>
      <c r="B11" t="str">
        <f t="shared" si="0"/>
        <v>US</v>
      </c>
      <c r="C11" t="s">
        <v>14</v>
      </c>
      <c r="D11">
        <v>261</v>
      </c>
      <c r="E11">
        <v>1</v>
      </c>
      <c r="F11">
        <v>0</v>
      </c>
    </row>
    <row r="12" spans="1:6" x14ac:dyDescent="0.25">
      <c r="A12">
        <v>11</v>
      </c>
      <c r="B12" t="str">
        <f t="shared" si="0"/>
        <v>CN</v>
      </c>
      <c r="C12" t="s">
        <v>15</v>
      </c>
      <c r="D12">
        <v>257</v>
      </c>
      <c r="E12">
        <v>1</v>
      </c>
      <c r="F12">
        <v>0</v>
      </c>
    </row>
    <row r="13" spans="1:6" x14ac:dyDescent="0.25">
      <c r="A13">
        <v>12</v>
      </c>
      <c r="B13" t="str">
        <f t="shared" si="0"/>
        <v>CN</v>
      </c>
      <c r="C13" t="s">
        <v>16</v>
      </c>
      <c r="D13">
        <v>249</v>
      </c>
      <c r="E13">
        <v>1</v>
      </c>
      <c r="F13">
        <v>0</v>
      </c>
    </row>
    <row r="14" spans="1:6" x14ac:dyDescent="0.25">
      <c r="A14">
        <v>13</v>
      </c>
      <c r="B14" t="str">
        <f t="shared" si="0"/>
        <v>JP</v>
      </c>
      <c r="C14" t="s">
        <v>17</v>
      </c>
      <c r="D14">
        <v>247</v>
      </c>
      <c r="E14">
        <v>1</v>
      </c>
      <c r="F14">
        <v>0</v>
      </c>
    </row>
    <row r="15" spans="1:6" x14ac:dyDescent="0.25">
      <c r="A15">
        <v>14</v>
      </c>
      <c r="B15" t="str">
        <f t="shared" si="0"/>
        <v>FR</v>
      </c>
      <c r="C15" t="s">
        <v>18</v>
      </c>
      <c r="D15">
        <v>244</v>
      </c>
      <c r="E15">
        <v>1</v>
      </c>
      <c r="F15">
        <v>0</v>
      </c>
    </row>
    <row r="16" spans="1:6" x14ac:dyDescent="0.25">
      <c r="A16">
        <v>15</v>
      </c>
      <c r="B16" t="str">
        <f t="shared" si="0"/>
        <v>DE</v>
      </c>
      <c r="C16" t="s">
        <v>19</v>
      </c>
      <c r="D16">
        <v>234</v>
      </c>
      <c r="E16">
        <v>1</v>
      </c>
      <c r="F16">
        <v>0</v>
      </c>
    </row>
    <row r="17" spans="1:6" x14ac:dyDescent="0.25">
      <c r="A17">
        <v>16</v>
      </c>
      <c r="B17" t="str">
        <f t="shared" si="0"/>
        <v>FR</v>
      </c>
      <c r="C17" t="s">
        <v>20</v>
      </c>
      <c r="D17">
        <v>211</v>
      </c>
      <c r="E17">
        <v>1</v>
      </c>
      <c r="F17">
        <v>0</v>
      </c>
    </row>
    <row r="18" spans="1:6" x14ac:dyDescent="0.25">
      <c r="A18">
        <v>17</v>
      </c>
      <c r="B18" t="str">
        <f t="shared" si="0"/>
        <v>US</v>
      </c>
      <c r="C18" t="s">
        <v>21</v>
      </c>
      <c r="D18">
        <v>204</v>
      </c>
      <c r="E18">
        <v>1</v>
      </c>
      <c r="F18">
        <v>1</v>
      </c>
    </row>
    <row r="19" spans="1:6" x14ac:dyDescent="0.25">
      <c r="A19">
        <v>18</v>
      </c>
      <c r="B19" t="str">
        <f t="shared" si="0"/>
        <v>ES</v>
      </c>
      <c r="C19" t="s">
        <v>22</v>
      </c>
      <c r="D19">
        <v>200</v>
      </c>
      <c r="E19">
        <v>1</v>
      </c>
      <c r="F19">
        <v>0</v>
      </c>
    </row>
    <row r="20" spans="1:6" x14ac:dyDescent="0.25">
      <c r="A20">
        <v>19</v>
      </c>
      <c r="B20" t="str">
        <f t="shared" si="0"/>
        <v>JP</v>
      </c>
      <c r="C20" t="s">
        <v>23</v>
      </c>
      <c r="D20">
        <v>173</v>
      </c>
      <c r="E20">
        <v>1</v>
      </c>
      <c r="F20">
        <v>0</v>
      </c>
    </row>
    <row r="21" spans="1:6" x14ac:dyDescent="0.25">
      <c r="A21">
        <v>20</v>
      </c>
      <c r="B21" t="str">
        <f t="shared" si="0"/>
        <v>CA</v>
      </c>
      <c r="C21" t="s">
        <v>24</v>
      </c>
      <c r="D21">
        <v>172</v>
      </c>
      <c r="E21">
        <v>1</v>
      </c>
      <c r="F21">
        <v>0</v>
      </c>
    </row>
    <row r="22" spans="1:6" x14ac:dyDescent="0.25">
      <c r="A22">
        <v>21</v>
      </c>
      <c r="B22" t="str">
        <f t="shared" si="0"/>
        <v>US</v>
      </c>
      <c r="C22" t="s">
        <v>25</v>
      </c>
      <c r="D22">
        <v>164</v>
      </c>
      <c r="E22">
        <v>1</v>
      </c>
      <c r="F22">
        <v>0</v>
      </c>
    </row>
    <row r="23" spans="1:6" x14ac:dyDescent="0.25">
      <c r="A23">
        <v>22</v>
      </c>
      <c r="B23" t="str">
        <f t="shared" si="0"/>
        <v>JP</v>
      </c>
      <c r="C23" t="s">
        <v>26</v>
      </c>
      <c r="D23">
        <v>162</v>
      </c>
      <c r="E23">
        <v>1</v>
      </c>
      <c r="F23">
        <v>0</v>
      </c>
    </row>
    <row r="24" spans="1:6" x14ac:dyDescent="0.25">
      <c r="A24">
        <v>23</v>
      </c>
      <c r="B24" t="str">
        <f t="shared" si="0"/>
        <v>NL</v>
      </c>
      <c r="C24" t="s">
        <v>27</v>
      </c>
      <c r="D24">
        <v>150</v>
      </c>
      <c r="E24">
        <v>1</v>
      </c>
      <c r="F24">
        <v>0</v>
      </c>
    </row>
    <row r="25" spans="1:6" x14ac:dyDescent="0.25">
      <c r="A25">
        <v>24</v>
      </c>
      <c r="B25" t="str">
        <f t="shared" si="0"/>
        <v>CA</v>
      </c>
      <c r="C25" t="s">
        <v>28</v>
      </c>
      <c r="D25">
        <v>148</v>
      </c>
      <c r="E25">
        <v>1</v>
      </c>
      <c r="F25">
        <v>0</v>
      </c>
    </row>
    <row r="26" spans="1:6" x14ac:dyDescent="0.25">
      <c r="A26">
        <v>25</v>
      </c>
      <c r="B26" t="str">
        <f t="shared" si="0"/>
        <v>US</v>
      </c>
      <c r="C26" t="s">
        <v>29</v>
      </c>
      <c r="D26">
        <v>148</v>
      </c>
      <c r="E26">
        <v>1</v>
      </c>
      <c r="F26">
        <v>0</v>
      </c>
    </row>
    <row r="27" spans="1:6" x14ac:dyDescent="0.25">
      <c r="A27">
        <v>26</v>
      </c>
      <c r="B27" t="str">
        <f t="shared" si="0"/>
        <v>FR</v>
      </c>
      <c r="C27" t="s">
        <v>30</v>
      </c>
      <c r="D27">
        <v>146</v>
      </c>
      <c r="E27">
        <v>1</v>
      </c>
      <c r="F27">
        <v>0</v>
      </c>
    </row>
    <row r="28" spans="1:6" x14ac:dyDescent="0.25">
      <c r="A28">
        <v>27</v>
      </c>
      <c r="B28" t="str">
        <f t="shared" si="0"/>
        <v>US</v>
      </c>
      <c r="C28" t="s">
        <v>31</v>
      </c>
      <c r="D28">
        <v>141</v>
      </c>
      <c r="E28">
        <v>1</v>
      </c>
      <c r="F28">
        <v>0</v>
      </c>
    </row>
    <row r="29" spans="1:6" x14ac:dyDescent="0.25">
      <c r="A29">
        <v>28</v>
      </c>
      <c r="B29" t="str">
        <f t="shared" si="0"/>
        <v>GB</v>
      </c>
      <c r="C29" t="s">
        <v>32</v>
      </c>
      <c r="D29">
        <v>139</v>
      </c>
      <c r="E29">
        <v>1</v>
      </c>
      <c r="F29">
        <v>0</v>
      </c>
    </row>
    <row r="30" spans="1:6" x14ac:dyDescent="0.25">
      <c r="A30" s="1">
        <v>29</v>
      </c>
      <c r="B30" s="1" t="str">
        <f t="shared" si="0"/>
        <v>CN</v>
      </c>
      <c r="C30" s="1" t="s">
        <v>33</v>
      </c>
      <c r="D30" s="1">
        <v>129</v>
      </c>
      <c r="E30" s="1">
        <v>1</v>
      </c>
      <c r="F30" s="1">
        <v>0</v>
      </c>
    </row>
    <row r="31" spans="1:6" x14ac:dyDescent="0.25">
      <c r="A31" s="1">
        <v>30</v>
      </c>
      <c r="B31" s="1" t="str">
        <f t="shared" si="0"/>
        <v>IT</v>
      </c>
      <c r="C31" s="1" t="s">
        <v>34</v>
      </c>
      <c r="D31" s="1">
        <v>112</v>
      </c>
      <c r="E31" s="1">
        <v>0</v>
      </c>
      <c r="F31" s="1">
        <v>0</v>
      </c>
    </row>
    <row r="32" spans="1:6" x14ac:dyDescent="0.25">
      <c r="A32" s="1">
        <v>31</v>
      </c>
      <c r="B32" s="1" t="str">
        <f t="shared" si="0"/>
        <v>CA</v>
      </c>
      <c r="C32" s="1" t="s">
        <v>35</v>
      </c>
      <c r="D32" s="1">
        <v>110</v>
      </c>
      <c r="E32" s="1">
        <v>0</v>
      </c>
      <c r="F32" s="1">
        <v>0</v>
      </c>
    </row>
    <row r="33" spans="1:6" x14ac:dyDescent="0.25">
      <c r="A33" s="1">
        <v>32</v>
      </c>
      <c r="B33" s="1" t="str">
        <f t="shared" si="0"/>
        <v>JP</v>
      </c>
      <c r="C33" s="1" t="s">
        <v>36</v>
      </c>
      <c r="D33" s="1">
        <v>106</v>
      </c>
      <c r="E33" s="1">
        <v>0</v>
      </c>
      <c r="F33" s="1">
        <v>0</v>
      </c>
    </row>
    <row r="34" spans="1:6" x14ac:dyDescent="0.25">
      <c r="A34" s="1">
        <v>33</v>
      </c>
      <c r="B34" s="1" t="str">
        <f t="shared" ref="B34:B65" si="1">LEFT(C34,2)</f>
        <v>CN</v>
      </c>
      <c r="C34" s="1" t="s">
        <v>37</v>
      </c>
      <c r="D34" s="1">
        <v>103</v>
      </c>
      <c r="E34" s="1">
        <v>0</v>
      </c>
      <c r="F34" s="1">
        <v>0</v>
      </c>
    </row>
    <row r="35" spans="1:6" x14ac:dyDescent="0.25">
      <c r="A35" s="1">
        <v>34</v>
      </c>
      <c r="B35" s="1" t="str">
        <f t="shared" si="1"/>
        <v>CN</v>
      </c>
      <c r="C35" s="1" t="s">
        <v>38</v>
      </c>
      <c r="D35" s="1">
        <v>102</v>
      </c>
      <c r="E35" s="1">
        <v>0</v>
      </c>
      <c r="F35" s="1">
        <v>0</v>
      </c>
    </row>
    <row r="36" spans="1:6" x14ac:dyDescent="0.25">
      <c r="A36" s="1">
        <v>35</v>
      </c>
      <c r="B36" s="1" t="str">
        <f t="shared" si="1"/>
        <v>DE</v>
      </c>
      <c r="C36" s="1" t="s">
        <v>39</v>
      </c>
      <c r="D36" s="1">
        <v>96</v>
      </c>
      <c r="E36" s="1">
        <v>0</v>
      </c>
      <c r="F36" s="1">
        <v>0</v>
      </c>
    </row>
    <row r="37" spans="1:6" x14ac:dyDescent="0.25">
      <c r="A37" s="1">
        <v>36</v>
      </c>
      <c r="B37" s="1" t="str">
        <f t="shared" si="1"/>
        <v>IT</v>
      </c>
      <c r="C37" s="1" t="s">
        <v>40</v>
      </c>
      <c r="D37" s="1">
        <v>96</v>
      </c>
      <c r="E37" s="1">
        <v>0</v>
      </c>
      <c r="F37" s="1">
        <v>0</v>
      </c>
    </row>
    <row r="38" spans="1:6" x14ac:dyDescent="0.25">
      <c r="A38" s="1">
        <v>37</v>
      </c>
      <c r="B38" s="1" t="str">
        <f t="shared" si="1"/>
        <v>CA</v>
      </c>
      <c r="C38" s="1" t="s">
        <v>41</v>
      </c>
      <c r="D38" s="1">
        <v>94</v>
      </c>
      <c r="E38" s="1">
        <v>0</v>
      </c>
      <c r="F38" s="1">
        <v>0</v>
      </c>
    </row>
    <row r="39" spans="1:6" x14ac:dyDescent="0.25">
      <c r="A39" s="1">
        <v>38</v>
      </c>
      <c r="B39" s="1" t="str">
        <f t="shared" si="1"/>
        <v>CN</v>
      </c>
      <c r="C39" s="1" t="s">
        <v>42</v>
      </c>
      <c r="D39" s="1">
        <v>88</v>
      </c>
      <c r="E39" s="1">
        <v>0</v>
      </c>
      <c r="F39" s="1">
        <v>0</v>
      </c>
    </row>
    <row r="40" spans="1:6" x14ac:dyDescent="0.25">
      <c r="A40" s="1">
        <v>39</v>
      </c>
      <c r="B40" s="1" t="str">
        <f t="shared" si="1"/>
        <v>CN</v>
      </c>
      <c r="C40" s="1" t="s">
        <v>43</v>
      </c>
      <c r="D40" s="1">
        <v>86</v>
      </c>
      <c r="E40" s="1">
        <v>0</v>
      </c>
      <c r="F40" s="1">
        <v>0</v>
      </c>
    </row>
    <row r="41" spans="1:6" x14ac:dyDescent="0.25">
      <c r="A41" s="1">
        <v>40</v>
      </c>
      <c r="B41" s="1" t="str">
        <f t="shared" si="1"/>
        <v>ES</v>
      </c>
      <c r="C41" s="1" t="s">
        <v>44</v>
      </c>
      <c r="D41" s="1">
        <v>86</v>
      </c>
      <c r="E41" s="1">
        <v>0</v>
      </c>
      <c r="F41" s="1">
        <v>0</v>
      </c>
    </row>
    <row r="42" spans="1:6" x14ac:dyDescent="0.25">
      <c r="A42" s="1">
        <v>41</v>
      </c>
      <c r="B42" s="1" t="str">
        <f t="shared" si="1"/>
        <v>FR</v>
      </c>
      <c r="C42" s="1" t="s">
        <v>45</v>
      </c>
      <c r="D42" s="1">
        <v>81</v>
      </c>
      <c r="E42" s="1">
        <v>0</v>
      </c>
      <c r="F42" s="1">
        <v>0</v>
      </c>
    </row>
    <row r="43" spans="1:6" x14ac:dyDescent="0.25">
      <c r="A43" s="1">
        <v>42</v>
      </c>
      <c r="B43" s="1" t="str">
        <f t="shared" si="1"/>
        <v>FI</v>
      </c>
      <c r="C43" s="1" t="s">
        <v>46</v>
      </c>
      <c r="D43" s="1">
        <v>79</v>
      </c>
      <c r="E43" s="1">
        <v>0</v>
      </c>
      <c r="F43" s="1">
        <v>0</v>
      </c>
    </row>
    <row r="44" spans="1:6" x14ac:dyDescent="0.25">
      <c r="A44" s="1">
        <v>43</v>
      </c>
      <c r="B44" s="1" t="str">
        <f t="shared" si="1"/>
        <v>CN</v>
      </c>
      <c r="C44" s="1" t="s">
        <v>47</v>
      </c>
      <c r="D44" s="1">
        <v>76</v>
      </c>
      <c r="E44" s="1">
        <v>0</v>
      </c>
      <c r="F44" s="1">
        <v>0</v>
      </c>
    </row>
    <row r="45" spans="1:6" x14ac:dyDescent="0.25">
      <c r="A45" s="1">
        <v>44</v>
      </c>
      <c r="B45" s="1" t="str">
        <f t="shared" si="1"/>
        <v>GB</v>
      </c>
      <c r="C45" s="1" t="s">
        <v>48</v>
      </c>
      <c r="D45" s="1">
        <v>75</v>
      </c>
      <c r="E45" s="1">
        <v>0</v>
      </c>
      <c r="F45" s="1">
        <v>0</v>
      </c>
    </row>
    <row r="46" spans="1:6" x14ac:dyDescent="0.25">
      <c r="A46" s="1">
        <v>45</v>
      </c>
      <c r="B46" s="1" t="str">
        <f t="shared" si="1"/>
        <v>GB</v>
      </c>
      <c r="C46" s="1" t="s">
        <v>49</v>
      </c>
      <c r="D46" s="1">
        <v>72</v>
      </c>
      <c r="E46" s="1">
        <v>0</v>
      </c>
      <c r="F46" s="1">
        <v>0</v>
      </c>
    </row>
    <row r="47" spans="1:6" x14ac:dyDescent="0.25">
      <c r="A47" s="1">
        <v>46</v>
      </c>
      <c r="B47" s="1" t="str">
        <f t="shared" si="1"/>
        <v>AU</v>
      </c>
      <c r="C47" s="1" t="s">
        <v>50</v>
      </c>
      <c r="D47" s="1">
        <v>71</v>
      </c>
      <c r="E47" s="1">
        <v>0</v>
      </c>
      <c r="F47" s="1">
        <v>0</v>
      </c>
    </row>
    <row r="48" spans="1:6" x14ac:dyDescent="0.25">
      <c r="A48" s="1">
        <v>47</v>
      </c>
      <c r="B48" s="1" t="str">
        <f t="shared" si="1"/>
        <v>DE</v>
      </c>
      <c r="C48" s="1" t="s">
        <v>51</v>
      </c>
      <c r="D48" s="1">
        <v>71</v>
      </c>
      <c r="E48" s="1">
        <v>0</v>
      </c>
      <c r="F48" s="1">
        <v>0</v>
      </c>
    </row>
    <row r="49" spans="1:6" x14ac:dyDescent="0.25">
      <c r="A49" s="1">
        <v>48</v>
      </c>
      <c r="B49" s="1" t="str">
        <f t="shared" si="1"/>
        <v>SG</v>
      </c>
      <c r="C49" s="1" t="s">
        <v>52</v>
      </c>
      <c r="D49" s="1">
        <v>67</v>
      </c>
      <c r="E49" s="1">
        <v>0</v>
      </c>
      <c r="F49" s="1">
        <v>0</v>
      </c>
    </row>
    <row r="50" spans="1:6" x14ac:dyDescent="0.25">
      <c r="A50" s="1">
        <v>49</v>
      </c>
      <c r="B50" s="1" t="str">
        <f t="shared" si="1"/>
        <v>CN</v>
      </c>
      <c r="C50" s="1" t="s">
        <v>53</v>
      </c>
      <c r="D50" s="1">
        <v>66</v>
      </c>
      <c r="E50" s="1">
        <v>0</v>
      </c>
      <c r="F50" s="1">
        <v>0</v>
      </c>
    </row>
    <row r="51" spans="1:6" x14ac:dyDescent="0.25">
      <c r="A51" s="1">
        <v>50</v>
      </c>
      <c r="B51" s="1" t="str">
        <f t="shared" si="1"/>
        <v>CA</v>
      </c>
      <c r="C51" s="1" t="s">
        <v>54</v>
      </c>
      <c r="D51" s="1">
        <v>63</v>
      </c>
      <c r="E51" s="1">
        <v>0</v>
      </c>
      <c r="F51" s="1">
        <v>0</v>
      </c>
    </row>
    <row r="52" spans="1:6" x14ac:dyDescent="0.25">
      <c r="A52" s="1">
        <v>51</v>
      </c>
      <c r="B52" s="1" t="str">
        <f t="shared" si="1"/>
        <v>AU</v>
      </c>
      <c r="C52" s="1" t="s">
        <v>55</v>
      </c>
      <c r="D52" s="1">
        <v>60</v>
      </c>
      <c r="E52" s="1">
        <v>0</v>
      </c>
      <c r="F52" s="1">
        <v>0</v>
      </c>
    </row>
    <row r="53" spans="1:6" x14ac:dyDescent="0.25">
      <c r="A53" s="1">
        <v>52</v>
      </c>
      <c r="B53" s="1" t="str">
        <f t="shared" si="1"/>
        <v>CN</v>
      </c>
      <c r="C53" s="1" t="s">
        <v>56</v>
      </c>
      <c r="D53" s="1">
        <v>57</v>
      </c>
      <c r="E53" s="1">
        <v>0</v>
      </c>
      <c r="F53" s="1">
        <v>0</v>
      </c>
    </row>
    <row r="54" spans="1:6" x14ac:dyDescent="0.25">
      <c r="A54" s="1">
        <v>53</v>
      </c>
      <c r="B54" s="1" t="str">
        <f t="shared" si="1"/>
        <v>DK</v>
      </c>
      <c r="C54" s="1" t="s">
        <v>57</v>
      </c>
      <c r="D54" s="1">
        <v>57</v>
      </c>
      <c r="E54" s="1">
        <v>0</v>
      </c>
      <c r="F54" s="1">
        <v>0</v>
      </c>
    </row>
    <row r="55" spans="1:6" x14ac:dyDescent="0.25">
      <c r="A55" s="1">
        <v>54</v>
      </c>
      <c r="B55" s="1" t="str">
        <f t="shared" si="1"/>
        <v>NL</v>
      </c>
      <c r="C55" s="1" t="s">
        <v>58</v>
      </c>
      <c r="D55" s="1">
        <v>55</v>
      </c>
      <c r="E55" s="1">
        <v>0</v>
      </c>
      <c r="F55" s="1">
        <v>0</v>
      </c>
    </row>
    <row r="56" spans="1:6" x14ac:dyDescent="0.25">
      <c r="A56" s="1">
        <v>55</v>
      </c>
      <c r="B56" s="1" t="str">
        <f t="shared" si="1"/>
        <v>AU</v>
      </c>
      <c r="C56" s="1" t="s">
        <v>59</v>
      </c>
      <c r="D56" s="1">
        <v>53</v>
      </c>
      <c r="E56" s="1">
        <v>0</v>
      </c>
      <c r="F56" s="1">
        <v>0</v>
      </c>
    </row>
    <row r="57" spans="1:6" x14ac:dyDescent="0.25">
      <c r="A57" s="1">
        <v>56</v>
      </c>
      <c r="B57" s="1" t="str">
        <f t="shared" si="1"/>
        <v>JP</v>
      </c>
      <c r="C57" s="1" t="s">
        <v>60</v>
      </c>
      <c r="D57" s="1">
        <v>52</v>
      </c>
      <c r="E57" s="1">
        <v>0</v>
      </c>
      <c r="F57" s="1">
        <v>0</v>
      </c>
    </row>
    <row r="58" spans="1:6" x14ac:dyDescent="0.25">
      <c r="A58" s="1">
        <v>57</v>
      </c>
      <c r="B58" s="1" t="str">
        <f t="shared" si="1"/>
        <v>US</v>
      </c>
      <c r="C58" s="1" t="s">
        <v>61</v>
      </c>
      <c r="D58" s="1">
        <v>48</v>
      </c>
      <c r="E58" s="1">
        <v>0</v>
      </c>
      <c r="F58" s="1">
        <v>0</v>
      </c>
    </row>
    <row r="59" spans="1:6" x14ac:dyDescent="0.25">
      <c r="A59" s="1">
        <v>58</v>
      </c>
      <c r="B59" s="1" t="str">
        <f t="shared" si="1"/>
        <v>FR</v>
      </c>
      <c r="C59" s="1" t="s">
        <v>62</v>
      </c>
      <c r="D59" s="1">
        <v>47</v>
      </c>
      <c r="E59" s="1">
        <v>0</v>
      </c>
      <c r="F59" s="1">
        <v>0</v>
      </c>
    </row>
    <row r="60" spans="1:6" x14ac:dyDescent="0.25">
      <c r="A60" s="1">
        <v>59</v>
      </c>
      <c r="B60" s="1" t="str">
        <f t="shared" si="1"/>
        <v>SG</v>
      </c>
      <c r="C60" s="1" t="s">
        <v>63</v>
      </c>
      <c r="D60" s="1">
        <v>47</v>
      </c>
      <c r="E60" s="1">
        <v>0</v>
      </c>
      <c r="F60" s="1">
        <v>0</v>
      </c>
    </row>
    <row r="61" spans="1:6" x14ac:dyDescent="0.25">
      <c r="A61" s="1">
        <v>60</v>
      </c>
      <c r="B61" s="1" t="str">
        <f t="shared" si="1"/>
        <v>CN</v>
      </c>
      <c r="C61" s="1" t="s">
        <v>64</v>
      </c>
      <c r="D61" s="1">
        <v>46</v>
      </c>
      <c r="E61" s="1">
        <v>0</v>
      </c>
      <c r="F61" s="1">
        <v>0</v>
      </c>
    </row>
    <row r="62" spans="1:6" x14ac:dyDescent="0.25">
      <c r="A62" s="1">
        <v>61</v>
      </c>
      <c r="B62" s="1" t="str">
        <f t="shared" si="1"/>
        <v>JP</v>
      </c>
      <c r="C62" s="1" t="s">
        <v>65</v>
      </c>
      <c r="D62" s="1">
        <v>45</v>
      </c>
      <c r="E62" s="1">
        <v>0</v>
      </c>
      <c r="F62" s="1">
        <v>0</v>
      </c>
    </row>
    <row r="63" spans="1:6" x14ac:dyDescent="0.25">
      <c r="A63" s="1">
        <v>62</v>
      </c>
      <c r="B63" s="1" t="str">
        <f t="shared" si="1"/>
        <v>KR</v>
      </c>
      <c r="C63" s="1" t="s">
        <v>66</v>
      </c>
      <c r="D63" s="1">
        <v>45</v>
      </c>
      <c r="E63" s="1">
        <v>0</v>
      </c>
      <c r="F63" s="1">
        <v>0</v>
      </c>
    </row>
    <row r="64" spans="1:6" x14ac:dyDescent="0.25">
      <c r="A64" s="1">
        <v>63</v>
      </c>
      <c r="B64" s="1" t="str">
        <f t="shared" si="1"/>
        <v>AU</v>
      </c>
      <c r="C64" s="1" t="s">
        <v>67</v>
      </c>
      <c r="D64" s="1">
        <v>43</v>
      </c>
      <c r="E64" s="1">
        <v>0</v>
      </c>
      <c r="F64" s="1">
        <v>0</v>
      </c>
    </row>
    <row r="65" spans="1:6" x14ac:dyDescent="0.25">
      <c r="A65" s="1">
        <v>64</v>
      </c>
      <c r="B65" s="1" t="str">
        <f t="shared" si="1"/>
        <v>IN</v>
      </c>
      <c r="C65" s="1" t="s">
        <v>68</v>
      </c>
      <c r="D65" s="1">
        <v>42</v>
      </c>
      <c r="E65" s="1">
        <v>0</v>
      </c>
      <c r="F65" s="1">
        <v>0</v>
      </c>
    </row>
    <row r="66" spans="1:6" x14ac:dyDescent="0.25">
      <c r="A66" s="1">
        <v>65</v>
      </c>
      <c r="B66" s="1" t="str">
        <f t="shared" ref="B66:B97" si="2">LEFT(C66,2)</f>
        <v>KR</v>
      </c>
      <c r="C66" s="1" t="s">
        <v>69</v>
      </c>
      <c r="D66" s="1">
        <v>41</v>
      </c>
      <c r="E66" s="1">
        <v>0</v>
      </c>
      <c r="F66" s="1">
        <v>0</v>
      </c>
    </row>
    <row r="67" spans="1:6" x14ac:dyDescent="0.25">
      <c r="A67" s="1">
        <v>66</v>
      </c>
      <c r="B67" s="1" t="str">
        <f t="shared" si="2"/>
        <v>BR</v>
      </c>
      <c r="C67" s="1" t="s">
        <v>70</v>
      </c>
      <c r="D67" s="1">
        <v>40</v>
      </c>
      <c r="E67" s="1">
        <v>0</v>
      </c>
      <c r="F67" s="1">
        <v>0</v>
      </c>
    </row>
    <row r="68" spans="1:6" x14ac:dyDescent="0.25">
      <c r="A68" s="1">
        <v>67</v>
      </c>
      <c r="B68" s="1" t="str">
        <f t="shared" si="2"/>
        <v>CN</v>
      </c>
      <c r="C68" s="1" t="s">
        <v>71</v>
      </c>
      <c r="D68" s="1">
        <v>39</v>
      </c>
      <c r="E68" s="1">
        <v>0</v>
      </c>
      <c r="F68" s="1">
        <v>0</v>
      </c>
    </row>
    <row r="69" spans="1:6" x14ac:dyDescent="0.25">
      <c r="A69" s="1">
        <v>68</v>
      </c>
      <c r="B69" s="1" t="str">
        <f t="shared" si="2"/>
        <v>KR</v>
      </c>
      <c r="C69" s="1" t="s">
        <v>72</v>
      </c>
      <c r="D69" s="1">
        <v>39</v>
      </c>
      <c r="E69" s="1">
        <v>0</v>
      </c>
      <c r="F69" s="1">
        <v>0</v>
      </c>
    </row>
    <row r="70" spans="1:6" x14ac:dyDescent="0.25">
      <c r="A70" s="1">
        <v>69</v>
      </c>
      <c r="B70" s="1" t="str">
        <f t="shared" si="2"/>
        <v>CN</v>
      </c>
      <c r="C70" s="1" t="s">
        <v>73</v>
      </c>
      <c r="D70" s="1">
        <v>34</v>
      </c>
      <c r="E70" s="1">
        <v>0</v>
      </c>
      <c r="F70" s="1">
        <v>0</v>
      </c>
    </row>
    <row r="71" spans="1:6" x14ac:dyDescent="0.25">
      <c r="A71" s="1">
        <v>70</v>
      </c>
      <c r="B71" s="1" t="str">
        <f t="shared" si="2"/>
        <v>CN</v>
      </c>
      <c r="C71" s="1" t="s">
        <v>74</v>
      </c>
      <c r="D71" s="1">
        <v>33</v>
      </c>
      <c r="E71" s="1">
        <v>0</v>
      </c>
      <c r="F71" s="1">
        <v>0</v>
      </c>
    </row>
    <row r="72" spans="1:6" x14ac:dyDescent="0.25">
      <c r="A72" s="1">
        <v>71</v>
      </c>
      <c r="B72" s="1" t="str">
        <f t="shared" si="2"/>
        <v>US</v>
      </c>
      <c r="C72" s="1" t="s">
        <v>75</v>
      </c>
      <c r="D72" s="1">
        <v>32</v>
      </c>
      <c r="E72" s="1">
        <v>0</v>
      </c>
      <c r="F72" s="1">
        <v>0</v>
      </c>
    </row>
    <row r="73" spans="1:6" x14ac:dyDescent="0.25">
      <c r="A73" s="1">
        <v>72</v>
      </c>
      <c r="B73" s="1" t="str">
        <f t="shared" si="2"/>
        <v>CN</v>
      </c>
      <c r="C73" s="1" t="s">
        <v>76</v>
      </c>
      <c r="D73" s="1">
        <v>30</v>
      </c>
      <c r="E73" s="1">
        <v>0</v>
      </c>
      <c r="F73" s="1">
        <v>0</v>
      </c>
    </row>
    <row r="74" spans="1:6" x14ac:dyDescent="0.25">
      <c r="A74" s="1">
        <v>73</v>
      </c>
      <c r="B74" s="1" t="str">
        <f t="shared" si="2"/>
        <v>ES</v>
      </c>
      <c r="C74" s="1" t="s">
        <v>77</v>
      </c>
      <c r="D74" s="1">
        <v>30</v>
      </c>
      <c r="E74" s="1">
        <v>0</v>
      </c>
      <c r="F74" s="1">
        <v>0</v>
      </c>
    </row>
    <row r="75" spans="1:6" x14ac:dyDescent="0.25">
      <c r="A75" s="1">
        <v>74</v>
      </c>
      <c r="B75" s="1" t="str">
        <f t="shared" si="2"/>
        <v>IN</v>
      </c>
      <c r="C75" s="1" t="s">
        <v>78</v>
      </c>
      <c r="D75" s="1">
        <v>30</v>
      </c>
      <c r="E75" s="1">
        <v>0</v>
      </c>
      <c r="F75" s="1">
        <v>0</v>
      </c>
    </row>
    <row r="76" spans="1:6" x14ac:dyDescent="0.25">
      <c r="A76" s="1">
        <v>75</v>
      </c>
      <c r="B76" s="1" t="str">
        <f t="shared" si="2"/>
        <v>CN</v>
      </c>
      <c r="C76" s="1" t="s">
        <v>79</v>
      </c>
      <c r="D76" s="1">
        <v>29</v>
      </c>
      <c r="E76" s="1">
        <v>0</v>
      </c>
      <c r="F76" s="1">
        <v>0</v>
      </c>
    </row>
    <row r="77" spans="1:6" x14ac:dyDescent="0.25">
      <c r="A77" s="1">
        <v>76</v>
      </c>
      <c r="B77" s="1" t="str">
        <f t="shared" si="2"/>
        <v>US</v>
      </c>
      <c r="C77" s="1" t="s">
        <v>80</v>
      </c>
      <c r="D77" s="1">
        <v>25</v>
      </c>
      <c r="E77" s="1">
        <v>0</v>
      </c>
      <c r="F77" s="1">
        <v>0</v>
      </c>
    </row>
    <row r="78" spans="1:6" x14ac:dyDescent="0.25">
      <c r="A78" s="1">
        <v>77</v>
      </c>
      <c r="B78" s="1" t="str">
        <f t="shared" si="2"/>
        <v>US</v>
      </c>
      <c r="C78" s="1" t="s">
        <v>81</v>
      </c>
      <c r="D78" s="1">
        <v>24</v>
      </c>
      <c r="E78" s="1">
        <v>0</v>
      </c>
      <c r="F78" s="1">
        <v>0</v>
      </c>
    </row>
  </sheetData>
  <autoFilter ref="A1:F78">
    <sortState ref="A2:F78">
      <sortCondition descending="1" ref="D1:D78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Puntuaciones_EISM_ES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usu319</dc:creator>
  <cp:lastModifiedBy>usu319</cp:lastModifiedBy>
  <dcterms:created xsi:type="dcterms:W3CDTF">2026-04-29T18:14:56Z</dcterms:created>
  <dcterms:modified xsi:type="dcterms:W3CDTF">2026-05-04T18:14:46Z</dcterms:modified>
</cp:coreProperties>
</file>