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ati/Downloads/GRF/GRF_1/"/>
    </mc:Choice>
  </mc:AlternateContent>
  <xr:revisionPtr revIDLastSave="0" documentId="13_ncr:1_{285DCB07-B57A-4147-ADF4-A84ED02C0418}" xr6:coauthVersionLast="36" xr6:coauthVersionMax="36" xr10:uidLastSave="{00000000-0000-0000-0000-000000000000}"/>
  <bookViews>
    <workbookView xWindow="0" yWindow="3280" windowWidth="28800" windowHeight="12180" activeTab="2" xr2:uid="{00000000-000D-0000-FFFF-FFFF00000000}"/>
  </bookViews>
  <sheets>
    <sheet name="Ejercicio 1" sheetId="5" r:id="rId1"/>
    <sheet name="Pólizas" sheetId="4" r:id="rId2"/>
    <sheet name="Cálculo provisión" sheetId="3" r:id="rId3"/>
    <sheet name="Hip Actuarial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E13" i="3"/>
  <c r="E12" i="3"/>
  <c r="C4" i="3"/>
  <c r="C3" i="3"/>
  <c r="D12" i="3" s="1"/>
  <c r="C6" i="3" l="1"/>
  <c r="C5" i="3"/>
  <c r="D110" i="3" l="1"/>
  <c r="D102" i="3"/>
  <c r="D94" i="3"/>
  <c r="D107" i="3"/>
  <c r="D99" i="3"/>
  <c r="D91" i="3"/>
  <c r="D106" i="3"/>
  <c r="D98" i="3"/>
  <c r="D90" i="3"/>
  <c r="D111" i="3"/>
  <c r="D103" i="3"/>
  <c r="D95" i="3"/>
  <c r="D112" i="3"/>
  <c r="D108" i="3"/>
  <c r="D104" i="3"/>
  <c r="D100" i="3"/>
  <c r="D96" i="3"/>
  <c r="D92" i="3"/>
  <c r="D88" i="3"/>
  <c r="D84" i="3"/>
  <c r="D80" i="3"/>
  <c r="D76" i="3"/>
  <c r="D72" i="3"/>
  <c r="D68" i="3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87" i="3"/>
  <c r="D83" i="3"/>
  <c r="D79" i="3"/>
  <c r="D75" i="3"/>
  <c r="D71" i="3"/>
  <c r="D67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86" i="3"/>
  <c r="D82" i="3"/>
  <c r="D78" i="3"/>
  <c r="D74" i="3"/>
  <c r="D70" i="3"/>
  <c r="D66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9" i="3"/>
  <c r="D105" i="3"/>
  <c r="D101" i="3"/>
  <c r="D97" i="3"/>
  <c r="D93" i="3"/>
  <c r="D89" i="3"/>
  <c r="D85" i="3"/>
  <c r="D81" i="3"/>
  <c r="D77" i="3"/>
  <c r="D73" i="3"/>
  <c r="D69" i="3"/>
  <c r="D65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E14" i="3" l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G4" i="4" l="1"/>
  <c r="G5" i="4"/>
  <c r="G6" i="4"/>
  <c r="G7" i="4"/>
  <c r="G8" i="4"/>
  <c r="G9" i="4"/>
  <c r="G10" i="4"/>
  <c r="G11" i="4"/>
  <c r="G12" i="4"/>
  <c r="G13" i="4"/>
  <c r="G4" i="1" l="1"/>
  <c r="G8" i="1" s="1"/>
  <c r="H8" i="1" s="1"/>
  <c r="G5" i="1"/>
  <c r="B9" i="1"/>
  <c r="B10" i="1" s="1"/>
  <c r="I8" i="1" l="1"/>
  <c r="B11" i="1"/>
  <c r="G9" i="1"/>
  <c r="G10" i="1" s="1"/>
  <c r="G11" i="1" l="1"/>
  <c r="B12" i="1"/>
  <c r="I10" i="1"/>
  <c r="H10" i="1"/>
  <c r="I9" i="1"/>
  <c r="H9" i="1"/>
  <c r="B13" i="1" l="1"/>
  <c r="G12" i="1"/>
  <c r="I11" i="1"/>
  <c r="H11" i="1"/>
  <c r="I12" i="1" l="1"/>
  <c r="H12" i="1"/>
  <c r="B14" i="1"/>
  <c r="G13" i="1"/>
  <c r="G14" i="1" l="1"/>
  <c r="B15" i="1"/>
  <c r="I13" i="1"/>
  <c r="H13" i="1"/>
  <c r="B16" i="1" l="1"/>
  <c r="G15" i="1"/>
  <c r="I14" i="1"/>
  <c r="H14" i="1"/>
  <c r="I15" i="1" l="1"/>
  <c r="H15" i="1"/>
  <c r="G16" i="1"/>
  <c r="B17" i="1"/>
  <c r="G72" i="3" l="1"/>
  <c r="H72" i="3" s="1"/>
  <c r="B18" i="1"/>
  <c r="G17" i="1"/>
  <c r="I16" i="1"/>
  <c r="H16" i="1"/>
  <c r="G73" i="3" l="1"/>
  <c r="H73" i="3" s="1"/>
  <c r="I17" i="1"/>
  <c r="H17" i="1"/>
  <c r="G18" i="1"/>
  <c r="B19" i="1"/>
  <c r="G74" i="3" l="1"/>
  <c r="H74" i="3" s="1"/>
  <c r="I18" i="1"/>
  <c r="H18" i="1"/>
  <c r="B20" i="1"/>
  <c r="G19" i="1"/>
  <c r="G75" i="3" l="1"/>
  <c r="H75" i="3" s="1"/>
  <c r="G20" i="1"/>
  <c r="B21" i="1"/>
  <c r="I19" i="1"/>
  <c r="H19" i="1"/>
  <c r="G76" i="3" l="1"/>
  <c r="H76" i="3" s="1"/>
  <c r="G21" i="1"/>
  <c r="B22" i="1"/>
  <c r="I20" i="1"/>
  <c r="H20" i="1"/>
  <c r="G77" i="3" l="1"/>
  <c r="H77" i="3" s="1"/>
  <c r="B23" i="1"/>
  <c r="G22" i="1"/>
  <c r="I21" i="1"/>
  <c r="H21" i="1"/>
  <c r="G78" i="3" l="1"/>
  <c r="H78" i="3" s="1"/>
  <c r="I22" i="1"/>
  <c r="H22" i="1"/>
  <c r="G23" i="1"/>
  <c r="B24" i="1"/>
  <c r="G79" i="3" l="1"/>
  <c r="H79" i="3" s="1"/>
  <c r="G24" i="1"/>
  <c r="B25" i="1"/>
  <c r="I23" i="1"/>
  <c r="H23" i="1"/>
  <c r="G80" i="3" l="1"/>
  <c r="H80" i="3" s="1"/>
  <c r="B26" i="1"/>
  <c r="G25" i="1"/>
  <c r="I24" i="1"/>
  <c r="H24" i="1"/>
  <c r="G81" i="3" l="1"/>
  <c r="H81" i="3" s="1"/>
  <c r="I25" i="1"/>
  <c r="H25" i="1"/>
  <c r="G26" i="1"/>
  <c r="B27" i="1"/>
  <c r="G82" i="3" l="1"/>
  <c r="H82" i="3" s="1"/>
  <c r="I26" i="1"/>
  <c r="H26" i="1"/>
  <c r="B28" i="1"/>
  <c r="G27" i="1"/>
  <c r="G83" i="3" l="1"/>
  <c r="H83" i="3" s="1"/>
  <c r="I27" i="1"/>
  <c r="H27" i="1"/>
  <c r="G28" i="1"/>
  <c r="B29" i="1"/>
  <c r="G84" i="3" l="1"/>
  <c r="H84" i="3" s="1"/>
  <c r="B30" i="1"/>
  <c r="G29" i="1"/>
  <c r="I28" i="1"/>
  <c r="H28" i="1"/>
  <c r="G85" i="3" l="1"/>
  <c r="H85" i="3" s="1"/>
  <c r="I29" i="1"/>
  <c r="H29" i="1"/>
  <c r="G30" i="1"/>
  <c r="B31" i="1"/>
  <c r="G86" i="3" l="1"/>
  <c r="H86" i="3" s="1"/>
  <c r="G31" i="1"/>
  <c r="B32" i="1"/>
  <c r="I30" i="1"/>
  <c r="H30" i="1"/>
  <c r="G87" i="3" l="1"/>
  <c r="H87" i="3" s="1"/>
  <c r="B33" i="1"/>
  <c r="G32" i="1"/>
  <c r="I31" i="1"/>
  <c r="H31" i="1"/>
  <c r="G88" i="3" l="1"/>
  <c r="H88" i="3" s="1"/>
  <c r="I32" i="1"/>
  <c r="H32" i="1"/>
  <c r="G33" i="1"/>
  <c r="B34" i="1"/>
  <c r="G89" i="3" l="1"/>
  <c r="H89" i="3" s="1"/>
  <c r="G34" i="1"/>
  <c r="B35" i="1"/>
  <c r="I33" i="1"/>
  <c r="H33" i="1"/>
  <c r="G90" i="3" l="1"/>
  <c r="H90" i="3" s="1"/>
  <c r="G35" i="1"/>
  <c r="B36" i="1"/>
  <c r="I34" i="1"/>
  <c r="H34" i="1"/>
  <c r="G91" i="3" l="1"/>
  <c r="H91" i="3" s="1"/>
  <c r="G36" i="1"/>
  <c r="B37" i="1"/>
  <c r="I35" i="1"/>
  <c r="H35" i="1"/>
  <c r="G92" i="3" l="1"/>
  <c r="H92" i="3" s="1"/>
  <c r="G37" i="1"/>
  <c r="B38" i="1"/>
  <c r="H36" i="1"/>
  <c r="I36" i="1"/>
  <c r="G93" i="3" l="1"/>
  <c r="H93" i="3" s="1"/>
  <c r="G38" i="1"/>
  <c r="B39" i="1"/>
  <c r="I37" i="1"/>
  <c r="H37" i="1"/>
  <c r="G94" i="3" l="1"/>
  <c r="H94" i="3" s="1"/>
  <c r="G39" i="1"/>
  <c r="B40" i="1"/>
  <c r="I38" i="1"/>
  <c r="H38" i="1"/>
  <c r="G95" i="3" l="1"/>
  <c r="H95" i="3" s="1"/>
  <c r="G40" i="1"/>
  <c r="B41" i="1"/>
  <c r="H39" i="1"/>
  <c r="I39" i="1"/>
  <c r="G96" i="3" l="1"/>
  <c r="H96" i="3" s="1"/>
  <c r="G41" i="1"/>
  <c r="B42" i="1"/>
  <c r="H40" i="1"/>
  <c r="I40" i="1"/>
  <c r="G97" i="3" l="1"/>
  <c r="H97" i="3" s="1"/>
  <c r="G42" i="1"/>
  <c r="B43" i="1"/>
  <c r="I41" i="1"/>
  <c r="H41" i="1"/>
  <c r="G98" i="3" l="1"/>
  <c r="H98" i="3" s="1"/>
  <c r="G43" i="1"/>
  <c r="B44" i="1"/>
  <c r="I42" i="1"/>
  <c r="H42" i="1"/>
  <c r="G99" i="3" l="1"/>
  <c r="H99" i="3" s="1"/>
  <c r="G44" i="1"/>
  <c r="B45" i="1"/>
  <c r="I43" i="1"/>
  <c r="H43" i="1"/>
  <c r="G100" i="3" l="1"/>
  <c r="H100" i="3" s="1"/>
  <c r="G45" i="1"/>
  <c r="B46" i="1"/>
  <c r="H44" i="1"/>
  <c r="I44" i="1"/>
  <c r="G101" i="3" l="1"/>
  <c r="H101" i="3" s="1"/>
  <c r="G46" i="1"/>
  <c r="B47" i="1"/>
  <c r="I45" i="1"/>
  <c r="H45" i="1"/>
  <c r="G102" i="3" l="1"/>
  <c r="H102" i="3" s="1"/>
  <c r="G47" i="1"/>
  <c r="B48" i="1"/>
  <c r="I46" i="1"/>
  <c r="H46" i="1"/>
  <c r="G103" i="3" l="1"/>
  <c r="H103" i="3" s="1"/>
  <c r="G48" i="1"/>
  <c r="B49" i="1"/>
  <c r="I47" i="1"/>
  <c r="H47" i="1"/>
  <c r="G104" i="3" l="1"/>
  <c r="H104" i="3" s="1"/>
  <c r="G49" i="1"/>
  <c r="B50" i="1"/>
  <c r="H48" i="1"/>
  <c r="I48" i="1"/>
  <c r="G105" i="3" l="1"/>
  <c r="H105" i="3" s="1"/>
  <c r="G50" i="1"/>
  <c r="B51" i="1"/>
  <c r="I49" i="1"/>
  <c r="H49" i="1"/>
  <c r="G106" i="3" l="1"/>
  <c r="H106" i="3" s="1"/>
  <c r="G51" i="1"/>
  <c r="B52" i="1"/>
  <c r="I50" i="1"/>
  <c r="H50" i="1"/>
  <c r="G107" i="3" l="1"/>
  <c r="H107" i="3" s="1"/>
  <c r="G52" i="1"/>
  <c r="B53" i="1"/>
  <c r="I51" i="1"/>
  <c r="H51" i="1"/>
  <c r="G108" i="3" l="1"/>
  <c r="H108" i="3" s="1"/>
  <c r="G53" i="1"/>
  <c r="B54" i="1"/>
  <c r="H52" i="1"/>
  <c r="I52" i="1"/>
  <c r="G109" i="3" l="1"/>
  <c r="H109" i="3" s="1"/>
  <c r="G54" i="1"/>
  <c r="B55" i="1"/>
  <c r="I53" i="1"/>
  <c r="H53" i="1"/>
  <c r="G110" i="3" l="1"/>
  <c r="H110" i="3" s="1"/>
  <c r="G55" i="1"/>
  <c r="B56" i="1"/>
  <c r="I54" i="1"/>
  <c r="H54" i="1"/>
  <c r="G111" i="3" l="1"/>
  <c r="H111" i="3" s="1"/>
  <c r="G56" i="1"/>
  <c r="B57" i="1"/>
  <c r="H55" i="1"/>
  <c r="I55" i="1"/>
  <c r="G112" i="3" l="1"/>
  <c r="H112" i="3" s="1"/>
  <c r="G57" i="1"/>
  <c r="B58" i="1"/>
  <c r="I56" i="1"/>
  <c r="H56" i="1"/>
  <c r="G58" i="1" l="1"/>
  <c r="B59" i="1"/>
  <c r="I57" i="1"/>
  <c r="H57" i="1"/>
  <c r="G59" i="1" l="1"/>
  <c r="B60" i="1"/>
  <c r="I58" i="1"/>
  <c r="H58" i="1"/>
  <c r="G60" i="1" l="1"/>
  <c r="B61" i="1"/>
  <c r="I59" i="1"/>
  <c r="H59" i="1"/>
  <c r="G61" i="1" l="1"/>
  <c r="B62" i="1"/>
  <c r="I60" i="1"/>
  <c r="H60" i="1"/>
  <c r="G62" i="1" l="1"/>
  <c r="B63" i="1"/>
  <c r="I61" i="1"/>
  <c r="H61" i="1"/>
  <c r="G63" i="1" l="1"/>
  <c r="B64" i="1"/>
  <c r="I62" i="1"/>
  <c r="H62" i="1"/>
  <c r="G64" i="1" l="1"/>
  <c r="B65" i="1"/>
  <c r="I63" i="1"/>
  <c r="H63" i="1"/>
  <c r="G65" i="1" l="1"/>
  <c r="B66" i="1"/>
  <c r="I64" i="1"/>
  <c r="H64" i="1"/>
  <c r="G66" i="1" l="1"/>
  <c r="B67" i="1"/>
  <c r="I65" i="1"/>
  <c r="H65" i="1"/>
  <c r="G67" i="1" l="1"/>
  <c r="B68" i="1"/>
  <c r="I66" i="1"/>
  <c r="H66" i="1"/>
  <c r="G68" i="1" l="1"/>
  <c r="B69" i="1"/>
  <c r="I67" i="1"/>
  <c r="H67" i="1"/>
  <c r="G69" i="1" l="1"/>
  <c r="B70" i="1"/>
  <c r="I68" i="1"/>
  <c r="G12" i="3" s="1"/>
  <c r="H68" i="1"/>
  <c r="K12" i="3" l="1"/>
  <c r="G70" i="1"/>
  <c r="B71" i="1"/>
  <c r="I69" i="1"/>
  <c r="G13" i="3" s="1"/>
  <c r="H13" i="3" s="1"/>
  <c r="H69" i="1"/>
  <c r="H12" i="3" l="1"/>
  <c r="G71" i="1"/>
  <c r="B72" i="1"/>
  <c r="I70" i="1"/>
  <c r="G14" i="3" s="1"/>
  <c r="H14" i="3" s="1"/>
  <c r="H70" i="1"/>
  <c r="I13" i="3" l="1"/>
  <c r="I14" i="3" s="1"/>
  <c r="J12" i="3"/>
  <c r="L12" i="3" s="1"/>
  <c r="G72" i="1"/>
  <c r="B73" i="1"/>
  <c r="I71" i="1"/>
  <c r="G15" i="3" s="1"/>
  <c r="H15" i="3" s="1"/>
  <c r="H71" i="1"/>
  <c r="K14" i="3" l="1"/>
  <c r="J14" i="3"/>
  <c r="I15" i="3"/>
  <c r="J15" i="3" s="1"/>
  <c r="J13" i="3"/>
  <c r="K13" i="3"/>
  <c r="G73" i="1"/>
  <c r="B74" i="1"/>
  <c r="I72" i="1"/>
  <c r="G16" i="3" s="1"/>
  <c r="H16" i="3" s="1"/>
  <c r="H72" i="1"/>
  <c r="K15" i="3" l="1"/>
  <c r="G74" i="1"/>
  <c r="B75" i="1"/>
  <c r="I73" i="1"/>
  <c r="G17" i="3" s="1"/>
  <c r="H17" i="3" s="1"/>
  <c r="H73" i="1"/>
  <c r="G75" i="1" l="1"/>
  <c r="B76" i="1"/>
  <c r="I74" i="1"/>
  <c r="G18" i="3" s="1"/>
  <c r="H18" i="3" s="1"/>
  <c r="H74" i="1"/>
  <c r="L13" i="3" l="1"/>
  <c r="G76" i="1"/>
  <c r="B77" i="1"/>
  <c r="I75" i="1"/>
  <c r="G19" i="3" s="1"/>
  <c r="H19" i="3" s="1"/>
  <c r="H75" i="1"/>
  <c r="G77" i="1" l="1"/>
  <c r="B78" i="1"/>
  <c r="I76" i="1"/>
  <c r="G20" i="3" s="1"/>
  <c r="H20" i="3" s="1"/>
  <c r="H76" i="1"/>
  <c r="L14" i="3" l="1"/>
  <c r="I16" i="3"/>
  <c r="J16" i="3" s="1"/>
  <c r="G78" i="1"/>
  <c r="B79" i="1"/>
  <c r="I77" i="1"/>
  <c r="G21" i="3" s="1"/>
  <c r="H21" i="3" s="1"/>
  <c r="H77" i="1"/>
  <c r="K16" i="3" l="1"/>
  <c r="L15" i="3"/>
  <c r="I17" i="3"/>
  <c r="J17" i="3" s="1"/>
  <c r="G79" i="1"/>
  <c r="B80" i="1"/>
  <c r="I78" i="1"/>
  <c r="G22" i="3" s="1"/>
  <c r="H22" i="3" s="1"/>
  <c r="H78" i="1"/>
  <c r="K17" i="3" l="1"/>
  <c r="L16" i="3"/>
  <c r="I18" i="3"/>
  <c r="J18" i="3" s="1"/>
  <c r="G80" i="1"/>
  <c r="B81" i="1"/>
  <c r="I79" i="1"/>
  <c r="G23" i="3" s="1"/>
  <c r="H23" i="3" s="1"/>
  <c r="H79" i="1"/>
  <c r="K18" i="3" l="1"/>
  <c r="I19" i="3"/>
  <c r="J19" i="3" s="1"/>
  <c r="L17" i="3"/>
  <c r="G81" i="1"/>
  <c r="B82" i="1"/>
  <c r="I80" i="1"/>
  <c r="G24" i="3" s="1"/>
  <c r="H24" i="3" s="1"/>
  <c r="H80" i="1"/>
  <c r="K19" i="3" l="1"/>
  <c r="L18" i="3"/>
  <c r="I20" i="3"/>
  <c r="J20" i="3" s="1"/>
  <c r="G82" i="1"/>
  <c r="B83" i="1"/>
  <c r="I81" i="1"/>
  <c r="G25" i="3" s="1"/>
  <c r="H25" i="3" s="1"/>
  <c r="H81" i="1"/>
  <c r="K20" i="3" l="1"/>
  <c r="I21" i="3"/>
  <c r="J21" i="3" s="1"/>
  <c r="L19" i="3"/>
  <c r="G83" i="1"/>
  <c r="B84" i="1"/>
  <c r="I82" i="1"/>
  <c r="G26" i="3" s="1"/>
  <c r="H26" i="3" s="1"/>
  <c r="H82" i="1"/>
  <c r="K21" i="3" l="1"/>
  <c r="I22" i="3"/>
  <c r="J22" i="3" s="1"/>
  <c r="L20" i="3"/>
  <c r="G84" i="1"/>
  <c r="B85" i="1"/>
  <c r="I83" i="1"/>
  <c r="G27" i="3" s="1"/>
  <c r="H27" i="3" s="1"/>
  <c r="H83" i="1"/>
  <c r="K22" i="3" l="1"/>
  <c r="I23" i="3"/>
  <c r="J23" i="3" s="1"/>
  <c r="L21" i="3"/>
  <c r="G85" i="1"/>
  <c r="B86" i="1"/>
  <c r="I84" i="1"/>
  <c r="G28" i="3" s="1"/>
  <c r="H28" i="3" s="1"/>
  <c r="H84" i="1"/>
  <c r="K23" i="3" l="1"/>
  <c r="L22" i="3"/>
  <c r="I24" i="3"/>
  <c r="J24" i="3" s="1"/>
  <c r="G86" i="1"/>
  <c r="B87" i="1"/>
  <c r="I85" i="1"/>
  <c r="G29" i="3" s="1"/>
  <c r="H29" i="3" s="1"/>
  <c r="H85" i="1"/>
  <c r="K24" i="3" l="1"/>
  <c r="L23" i="3"/>
  <c r="I25" i="3"/>
  <c r="J25" i="3" s="1"/>
  <c r="G87" i="1"/>
  <c r="B88" i="1"/>
  <c r="I86" i="1"/>
  <c r="G30" i="3" s="1"/>
  <c r="H30" i="3" s="1"/>
  <c r="H86" i="1"/>
  <c r="K25" i="3" l="1"/>
  <c r="L24" i="3"/>
  <c r="I26" i="3"/>
  <c r="J26" i="3" s="1"/>
  <c r="G88" i="1"/>
  <c r="B89" i="1"/>
  <c r="I87" i="1"/>
  <c r="G31" i="3" s="1"/>
  <c r="H31" i="3" s="1"/>
  <c r="H87" i="1"/>
  <c r="K26" i="3" l="1"/>
  <c r="L25" i="3"/>
  <c r="I27" i="3"/>
  <c r="J27" i="3" s="1"/>
  <c r="G89" i="1"/>
  <c r="B90" i="1"/>
  <c r="I88" i="1"/>
  <c r="G32" i="3" s="1"/>
  <c r="H32" i="3" s="1"/>
  <c r="H88" i="1"/>
  <c r="K27" i="3" l="1"/>
  <c r="L26" i="3"/>
  <c r="I28" i="3"/>
  <c r="J28" i="3" s="1"/>
  <c r="G90" i="1"/>
  <c r="B91" i="1"/>
  <c r="I89" i="1"/>
  <c r="G33" i="3" s="1"/>
  <c r="H33" i="3" s="1"/>
  <c r="H89" i="1"/>
  <c r="K28" i="3" l="1"/>
  <c r="L27" i="3"/>
  <c r="I29" i="3"/>
  <c r="J29" i="3" s="1"/>
  <c r="G91" i="1"/>
  <c r="B92" i="1"/>
  <c r="I90" i="1"/>
  <c r="G34" i="3" s="1"/>
  <c r="H34" i="3" s="1"/>
  <c r="H90" i="1"/>
  <c r="K29" i="3" l="1"/>
  <c r="L28" i="3"/>
  <c r="I30" i="3"/>
  <c r="J30" i="3" s="1"/>
  <c r="G92" i="1"/>
  <c r="B93" i="1"/>
  <c r="I91" i="1"/>
  <c r="G35" i="3" s="1"/>
  <c r="H35" i="3" s="1"/>
  <c r="H91" i="1"/>
  <c r="K30" i="3" l="1"/>
  <c r="I31" i="3"/>
  <c r="J31" i="3" s="1"/>
  <c r="L29" i="3"/>
  <c r="G93" i="1"/>
  <c r="B94" i="1"/>
  <c r="I92" i="1"/>
  <c r="G36" i="3" s="1"/>
  <c r="H36" i="3" s="1"/>
  <c r="H92" i="1"/>
  <c r="K31" i="3" l="1"/>
  <c r="L30" i="3"/>
  <c r="I32" i="3"/>
  <c r="J32" i="3" s="1"/>
  <c r="G94" i="1"/>
  <c r="B95" i="1"/>
  <c r="I93" i="1"/>
  <c r="G37" i="3" s="1"/>
  <c r="H37" i="3" s="1"/>
  <c r="H93" i="1"/>
  <c r="K32" i="3" l="1"/>
  <c r="L31" i="3"/>
  <c r="I33" i="3"/>
  <c r="J33" i="3" s="1"/>
  <c r="G95" i="1"/>
  <c r="B96" i="1"/>
  <c r="I94" i="1"/>
  <c r="G38" i="3" s="1"/>
  <c r="H38" i="3" s="1"/>
  <c r="H94" i="1"/>
  <c r="K33" i="3" l="1"/>
  <c r="L32" i="3"/>
  <c r="I34" i="3"/>
  <c r="J34" i="3" s="1"/>
  <c r="G96" i="1"/>
  <c r="B97" i="1"/>
  <c r="I95" i="1"/>
  <c r="G39" i="3" s="1"/>
  <c r="H39" i="3" s="1"/>
  <c r="H95" i="1"/>
  <c r="K34" i="3" l="1"/>
  <c r="I35" i="3"/>
  <c r="J35" i="3" s="1"/>
  <c r="L33" i="3"/>
  <c r="G97" i="1"/>
  <c r="B98" i="1"/>
  <c r="I96" i="1"/>
  <c r="G40" i="3" s="1"/>
  <c r="H40" i="3" s="1"/>
  <c r="H96" i="1"/>
  <c r="K35" i="3" l="1"/>
  <c r="I36" i="3"/>
  <c r="J36" i="3" s="1"/>
  <c r="L34" i="3"/>
  <c r="G98" i="1"/>
  <c r="B99" i="1"/>
  <c r="I97" i="1"/>
  <c r="G41" i="3" s="1"/>
  <c r="H41" i="3" s="1"/>
  <c r="H97" i="1"/>
  <c r="K36" i="3" l="1"/>
  <c r="L35" i="3"/>
  <c r="I37" i="3"/>
  <c r="J37" i="3" s="1"/>
  <c r="G99" i="1"/>
  <c r="B100" i="1"/>
  <c r="I98" i="1"/>
  <c r="G42" i="3" s="1"/>
  <c r="H42" i="3" s="1"/>
  <c r="H98" i="1"/>
  <c r="K37" i="3" l="1"/>
  <c r="L36" i="3"/>
  <c r="I38" i="3"/>
  <c r="J38" i="3" s="1"/>
  <c r="G100" i="1"/>
  <c r="B101" i="1"/>
  <c r="I99" i="1"/>
  <c r="G43" i="3" s="1"/>
  <c r="H43" i="3" s="1"/>
  <c r="H99" i="1"/>
  <c r="K38" i="3" l="1"/>
  <c r="L37" i="3"/>
  <c r="I39" i="3"/>
  <c r="J39" i="3" s="1"/>
  <c r="G101" i="1"/>
  <c r="B102" i="1"/>
  <c r="I100" i="1"/>
  <c r="G44" i="3" s="1"/>
  <c r="H44" i="3" s="1"/>
  <c r="H100" i="1"/>
  <c r="K39" i="3" l="1"/>
  <c r="L38" i="3"/>
  <c r="I40" i="3"/>
  <c r="J40" i="3" s="1"/>
  <c r="G102" i="1"/>
  <c r="B103" i="1"/>
  <c r="I101" i="1"/>
  <c r="H101" i="1"/>
  <c r="K40" i="3" l="1"/>
  <c r="G45" i="3"/>
  <c r="H45" i="3" s="1"/>
  <c r="G63" i="3"/>
  <c r="H63" i="3" s="1"/>
  <c r="L39" i="3"/>
  <c r="I41" i="3"/>
  <c r="J41" i="3" s="1"/>
  <c r="G103" i="1"/>
  <c r="B104" i="1"/>
  <c r="I102" i="1"/>
  <c r="G46" i="3" s="1"/>
  <c r="H46" i="3" s="1"/>
  <c r="H102" i="1"/>
  <c r="K41" i="3" l="1"/>
  <c r="L40" i="3"/>
  <c r="I42" i="3"/>
  <c r="J42" i="3" s="1"/>
  <c r="G104" i="1"/>
  <c r="B105" i="1"/>
  <c r="I103" i="1"/>
  <c r="H103" i="1"/>
  <c r="K42" i="3" l="1"/>
  <c r="G47" i="3"/>
  <c r="H47" i="3" s="1"/>
  <c r="G64" i="3"/>
  <c r="H64" i="3" s="1"/>
  <c r="L41" i="3"/>
  <c r="I43" i="3"/>
  <c r="J43" i="3" s="1"/>
  <c r="G105" i="1"/>
  <c r="B106" i="1"/>
  <c r="I104" i="1"/>
  <c r="G48" i="3" s="1"/>
  <c r="H48" i="3" s="1"/>
  <c r="H104" i="1"/>
  <c r="K43" i="3" l="1"/>
  <c r="L42" i="3"/>
  <c r="I44" i="3"/>
  <c r="J44" i="3" s="1"/>
  <c r="G106" i="1"/>
  <c r="B107" i="1"/>
  <c r="I105" i="1"/>
  <c r="H105" i="1"/>
  <c r="K44" i="3" l="1"/>
  <c r="G49" i="3"/>
  <c r="H49" i="3" s="1"/>
  <c r="G65" i="3"/>
  <c r="H65" i="3" s="1"/>
  <c r="I45" i="3"/>
  <c r="J45" i="3" s="1"/>
  <c r="L43" i="3"/>
  <c r="G107" i="1"/>
  <c r="B108" i="1"/>
  <c r="I106" i="1"/>
  <c r="G50" i="3" s="1"/>
  <c r="H50" i="3" s="1"/>
  <c r="H106" i="1"/>
  <c r="K45" i="3" l="1"/>
  <c r="L44" i="3"/>
  <c r="I46" i="3"/>
  <c r="J46" i="3" s="1"/>
  <c r="G108" i="1"/>
  <c r="B109" i="1"/>
  <c r="I107" i="1"/>
  <c r="H107" i="1"/>
  <c r="K46" i="3" l="1"/>
  <c r="G51" i="3"/>
  <c r="H51" i="3" s="1"/>
  <c r="G66" i="3"/>
  <c r="H66" i="3" s="1"/>
  <c r="I47" i="3"/>
  <c r="J47" i="3" s="1"/>
  <c r="L45" i="3"/>
  <c r="G109" i="1"/>
  <c r="B110" i="1"/>
  <c r="I108" i="1"/>
  <c r="G52" i="3" s="1"/>
  <c r="H52" i="3" s="1"/>
  <c r="H108" i="1"/>
  <c r="K47" i="3" l="1"/>
  <c r="L46" i="3"/>
  <c r="I48" i="3"/>
  <c r="J48" i="3" s="1"/>
  <c r="G110" i="1"/>
  <c r="B111" i="1"/>
  <c r="I109" i="1"/>
  <c r="H109" i="1"/>
  <c r="K48" i="3" l="1"/>
  <c r="G53" i="3"/>
  <c r="H53" i="3" s="1"/>
  <c r="G67" i="3"/>
  <c r="H67" i="3" s="1"/>
  <c r="L47" i="3"/>
  <c r="I49" i="3"/>
  <c r="J49" i="3" s="1"/>
  <c r="G111" i="1"/>
  <c r="B112" i="1"/>
  <c r="I110" i="1"/>
  <c r="G54" i="3" s="1"/>
  <c r="H54" i="3" s="1"/>
  <c r="H110" i="1"/>
  <c r="K49" i="3" l="1"/>
  <c r="L48" i="3"/>
  <c r="I50" i="3"/>
  <c r="J50" i="3" s="1"/>
  <c r="G112" i="1"/>
  <c r="B113" i="1"/>
  <c r="I111" i="1"/>
  <c r="H111" i="1"/>
  <c r="K50" i="3" l="1"/>
  <c r="G55" i="3"/>
  <c r="H55" i="3" s="1"/>
  <c r="G68" i="3"/>
  <c r="H68" i="3" s="1"/>
  <c r="L49" i="3"/>
  <c r="I51" i="3"/>
  <c r="J51" i="3" s="1"/>
  <c r="G113" i="1"/>
  <c r="B114" i="1"/>
  <c r="I112" i="1"/>
  <c r="G56" i="3" s="1"/>
  <c r="H56" i="3" s="1"/>
  <c r="H112" i="1"/>
  <c r="K51" i="3" l="1"/>
  <c r="I52" i="3"/>
  <c r="J52" i="3" s="1"/>
  <c r="L50" i="3"/>
  <c r="G114" i="1"/>
  <c r="B115" i="1"/>
  <c r="I113" i="1"/>
  <c r="H113" i="1"/>
  <c r="K52" i="3" l="1"/>
  <c r="G57" i="3"/>
  <c r="H57" i="3" s="1"/>
  <c r="G69" i="3"/>
  <c r="H69" i="3" s="1"/>
  <c r="L51" i="3"/>
  <c r="I53" i="3"/>
  <c r="J53" i="3" s="1"/>
  <c r="G115" i="1"/>
  <c r="B116" i="1"/>
  <c r="I114" i="1"/>
  <c r="G58" i="3" s="1"/>
  <c r="H58" i="3" s="1"/>
  <c r="H114" i="1"/>
  <c r="K53" i="3" l="1"/>
  <c r="L52" i="3"/>
  <c r="I54" i="3"/>
  <c r="J54" i="3" s="1"/>
  <c r="G116" i="1"/>
  <c r="B117" i="1"/>
  <c r="I115" i="1"/>
  <c r="H115" i="1"/>
  <c r="K54" i="3" l="1"/>
  <c r="G59" i="3"/>
  <c r="H59" i="3" s="1"/>
  <c r="G70" i="3"/>
  <c r="H70" i="3" s="1"/>
  <c r="L53" i="3"/>
  <c r="I55" i="3"/>
  <c r="J55" i="3" s="1"/>
  <c r="G117" i="1"/>
  <c r="B118" i="1"/>
  <c r="I116" i="1"/>
  <c r="G60" i="3" s="1"/>
  <c r="H60" i="3" s="1"/>
  <c r="H116" i="1"/>
  <c r="K55" i="3" l="1"/>
  <c r="L54" i="3"/>
  <c r="I56" i="3"/>
  <c r="J56" i="3" s="1"/>
  <c r="G118" i="1"/>
  <c r="I118" i="1" s="1"/>
  <c r="G62" i="3" s="1"/>
  <c r="H62" i="3" s="1"/>
  <c r="I117" i="1"/>
  <c r="H117" i="1"/>
  <c r="K56" i="3" l="1"/>
  <c r="G61" i="3"/>
  <c r="H61" i="3" s="1"/>
  <c r="G71" i="3"/>
  <c r="H71" i="3" s="1"/>
  <c r="I57" i="3"/>
  <c r="J57" i="3" s="1"/>
  <c r="L55" i="3"/>
  <c r="H118" i="1"/>
  <c r="K57" i="3" l="1"/>
  <c r="L56" i="3"/>
  <c r="I58" i="3"/>
  <c r="J58" i="3" s="1"/>
  <c r="K58" i="3" l="1"/>
  <c r="L57" i="3"/>
  <c r="I59" i="3"/>
  <c r="J59" i="3" s="1"/>
  <c r="K59" i="3" l="1"/>
  <c r="L58" i="3"/>
  <c r="I60" i="3"/>
  <c r="K60" i="3" l="1"/>
  <c r="J60" i="3"/>
  <c r="I61" i="3"/>
  <c r="J61" i="3" s="1"/>
  <c r="L59" i="3"/>
  <c r="K61" i="3" l="1"/>
  <c r="L61" i="3" s="1"/>
  <c r="I62" i="3"/>
  <c r="J62" i="3" s="1"/>
  <c r="L60" i="3"/>
  <c r="K62" i="3" l="1"/>
  <c r="I63" i="3"/>
  <c r="I64" i="3" l="1"/>
  <c r="J64" i="3" s="1"/>
  <c r="J63" i="3"/>
  <c r="L62" i="3"/>
  <c r="K63" i="3"/>
  <c r="K64" i="3" l="1"/>
  <c r="L64" i="3" s="1"/>
  <c r="I65" i="3"/>
  <c r="J65" i="3" s="1"/>
  <c r="L63" i="3"/>
  <c r="I66" i="3" l="1"/>
  <c r="J66" i="3" s="1"/>
  <c r="K65" i="3"/>
  <c r="L65" i="3" s="1"/>
  <c r="K66" i="3" l="1"/>
  <c r="L66" i="3" s="1"/>
  <c r="I67" i="3"/>
  <c r="J67" i="3" s="1"/>
  <c r="K67" i="3" l="1"/>
  <c r="L67" i="3" s="1"/>
  <c r="I68" i="3"/>
  <c r="J68" i="3" s="1"/>
  <c r="K68" i="3" l="1"/>
  <c r="L68" i="3" s="1"/>
  <c r="I69" i="3"/>
  <c r="J69" i="3" s="1"/>
  <c r="I70" i="3" l="1"/>
  <c r="J70" i="3" s="1"/>
  <c r="K69" i="3"/>
  <c r="L69" i="3" s="1"/>
  <c r="K70" i="3" l="1"/>
  <c r="L70" i="3" s="1"/>
  <c r="I71" i="3"/>
  <c r="J71" i="3" s="1"/>
  <c r="I72" i="3" l="1"/>
  <c r="J72" i="3" s="1"/>
  <c r="K71" i="3"/>
  <c r="L71" i="3" s="1"/>
  <c r="I73" i="3" l="1"/>
  <c r="J73" i="3" s="1"/>
  <c r="K72" i="3"/>
  <c r="L72" i="3" s="1"/>
  <c r="I74" i="3" l="1"/>
  <c r="J74" i="3" s="1"/>
  <c r="K73" i="3"/>
  <c r="L73" i="3" s="1"/>
  <c r="I75" i="3" l="1"/>
  <c r="J75" i="3" s="1"/>
  <c r="K74" i="3"/>
  <c r="L74" i="3" s="1"/>
  <c r="I76" i="3" l="1"/>
  <c r="J76" i="3" s="1"/>
  <c r="K75" i="3"/>
  <c r="L75" i="3" s="1"/>
  <c r="I77" i="3" l="1"/>
  <c r="J77" i="3" s="1"/>
  <c r="K76" i="3"/>
  <c r="L76" i="3" s="1"/>
  <c r="I78" i="3" l="1"/>
  <c r="J78" i="3" s="1"/>
  <c r="K77" i="3"/>
  <c r="L77" i="3" s="1"/>
  <c r="K78" i="3" l="1"/>
  <c r="L78" i="3" s="1"/>
  <c r="I79" i="3"/>
  <c r="J79" i="3" s="1"/>
  <c r="I80" i="3" l="1"/>
  <c r="J80" i="3" s="1"/>
  <c r="K79" i="3"/>
  <c r="L79" i="3" s="1"/>
  <c r="I81" i="3" l="1"/>
  <c r="J81" i="3" s="1"/>
  <c r="K80" i="3"/>
  <c r="L80" i="3" s="1"/>
  <c r="I82" i="3" l="1"/>
  <c r="J82" i="3" s="1"/>
  <c r="K81" i="3"/>
  <c r="L81" i="3" s="1"/>
  <c r="I83" i="3" l="1"/>
  <c r="J83" i="3" s="1"/>
  <c r="K82" i="3"/>
  <c r="L82" i="3" s="1"/>
  <c r="I84" i="3" l="1"/>
  <c r="J84" i="3" s="1"/>
  <c r="K83" i="3"/>
  <c r="L83" i="3" s="1"/>
  <c r="I85" i="3"/>
  <c r="J85" i="3" s="1"/>
  <c r="K84" i="3" l="1"/>
  <c r="L84" i="3" s="1"/>
  <c r="K85" i="3"/>
  <c r="I86" i="3"/>
  <c r="J86" i="3" s="1"/>
  <c r="K86" i="3" l="1"/>
  <c r="L85" i="3"/>
  <c r="I87" i="3"/>
  <c r="J87" i="3" s="1"/>
  <c r="K87" i="3" l="1"/>
  <c r="L86" i="3"/>
  <c r="I88" i="3"/>
  <c r="J88" i="3" s="1"/>
  <c r="K88" i="3" l="1"/>
  <c r="L87" i="3"/>
  <c r="I89" i="3"/>
  <c r="J89" i="3" s="1"/>
  <c r="K89" i="3" l="1"/>
  <c r="L88" i="3"/>
  <c r="I90" i="3"/>
  <c r="J90" i="3" s="1"/>
  <c r="K90" i="3" l="1"/>
  <c r="L89" i="3"/>
  <c r="I91" i="3"/>
  <c r="J91" i="3" s="1"/>
  <c r="K91" i="3" l="1"/>
  <c r="L90" i="3"/>
  <c r="I92" i="3"/>
  <c r="J92" i="3" s="1"/>
  <c r="K92" i="3" l="1"/>
  <c r="L91" i="3"/>
  <c r="I93" i="3"/>
  <c r="J93" i="3" s="1"/>
  <c r="K93" i="3" l="1"/>
  <c r="L92" i="3"/>
  <c r="I94" i="3"/>
  <c r="J94" i="3" s="1"/>
  <c r="K94" i="3" l="1"/>
  <c r="L93" i="3"/>
  <c r="I95" i="3"/>
  <c r="J95" i="3" s="1"/>
  <c r="K95" i="3" l="1"/>
  <c r="L94" i="3"/>
  <c r="I96" i="3"/>
  <c r="J96" i="3" s="1"/>
  <c r="K96" i="3" l="1"/>
  <c r="L95" i="3"/>
  <c r="I97" i="3"/>
  <c r="J97" i="3" s="1"/>
  <c r="K97" i="3" l="1"/>
  <c r="L96" i="3"/>
  <c r="I98" i="3"/>
  <c r="J98" i="3" s="1"/>
  <c r="K98" i="3" l="1"/>
  <c r="L97" i="3"/>
  <c r="I99" i="3"/>
  <c r="J99" i="3" s="1"/>
  <c r="K99" i="3" l="1"/>
  <c r="L98" i="3"/>
  <c r="I100" i="3"/>
  <c r="J100" i="3" s="1"/>
  <c r="K100" i="3" l="1"/>
  <c r="L99" i="3"/>
  <c r="I101" i="3"/>
  <c r="J101" i="3" s="1"/>
  <c r="K101" i="3" l="1"/>
  <c r="L100" i="3"/>
  <c r="I102" i="3"/>
  <c r="J102" i="3" s="1"/>
  <c r="K102" i="3" l="1"/>
  <c r="L101" i="3"/>
  <c r="I103" i="3"/>
  <c r="J103" i="3" s="1"/>
  <c r="K103" i="3" l="1"/>
  <c r="L102" i="3"/>
  <c r="I104" i="3"/>
  <c r="J104" i="3" s="1"/>
  <c r="K104" i="3" l="1"/>
  <c r="L103" i="3"/>
  <c r="I105" i="3"/>
  <c r="J105" i="3" s="1"/>
  <c r="K105" i="3" l="1"/>
  <c r="L104" i="3"/>
  <c r="I106" i="3"/>
  <c r="J106" i="3" s="1"/>
  <c r="K106" i="3" l="1"/>
  <c r="L105" i="3"/>
  <c r="I107" i="3"/>
  <c r="J107" i="3" s="1"/>
  <c r="K107" i="3" l="1"/>
  <c r="L106" i="3"/>
  <c r="I108" i="3"/>
  <c r="J108" i="3" s="1"/>
  <c r="K108" i="3" l="1"/>
  <c r="L107" i="3"/>
  <c r="I109" i="3"/>
  <c r="J109" i="3" s="1"/>
  <c r="K109" i="3" l="1"/>
  <c r="L108" i="3"/>
  <c r="I110" i="3"/>
  <c r="J110" i="3" s="1"/>
  <c r="K110" i="3" l="1"/>
  <c r="L109" i="3"/>
  <c r="I111" i="3"/>
  <c r="J111" i="3" s="1"/>
  <c r="K111" i="3" l="1"/>
  <c r="L110" i="3"/>
  <c r="I112" i="3"/>
  <c r="J112" i="3" s="1"/>
  <c r="K112" i="3" l="1"/>
  <c r="L111" i="3"/>
  <c r="L112" i="3" l="1"/>
  <c r="L9" i="3" l="1"/>
  <c r="K3" i="4" l="1"/>
</calcChain>
</file>

<file path=xl/sharedStrings.xml><?xml version="1.0" encoding="utf-8"?>
<sst xmlns="http://schemas.openxmlformats.org/spreadsheetml/2006/main" count="55" uniqueCount="39">
  <si>
    <t>Año cálculo:</t>
  </si>
  <si>
    <t>Factor de mejora:</t>
  </si>
  <si>
    <t>Edad</t>
  </si>
  <si>
    <t xml:space="preserve">Hombres qx </t>
  </si>
  <si>
    <t>Mejora Hom</t>
  </si>
  <si>
    <r>
      <t>Mujeres q</t>
    </r>
    <r>
      <rPr>
        <vertAlign val="subscript"/>
        <sz val="10"/>
        <rFont val="Tahoma"/>
        <family val="2"/>
      </rPr>
      <t>x</t>
    </r>
  </si>
  <si>
    <t>Mejora Muj</t>
  </si>
  <si>
    <t>Mejora</t>
  </si>
  <si>
    <t>Hombres</t>
  </si>
  <si>
    <t>Mujeres</t>
  </si>
  <si>
    <t>Tablas Mortalidad</t>
  </si>
  <si>
    <t>Mortalidad</t>
  </si>
  <si>
    <t>Edad:</t>
  </si>
  <si>
    <t>Mortalidad + mejora</t>
  </si>
  <si>
    <t>Tasa descuento</t>
  </si>
  <si>
    <t>Flujo anual</t>
  </si>
  <si>
    <t>Flujo final</t>
  </si>
  <si>
    <t>T</t>
  </si>
  <si>
    <t>FD(1)</t>
  </si>
  <si>
    <t>FD(t)</t>
  </si>
  <si>
    <t>qx</t>
  </si>
  <si>
    <t>Px</t>
  </si>
  <si>
    <t>tPx</t>
  </si>
  <si>
    <t>Flujos totales</t>
  </si>
  <si>
    <t>Provisón matemática:</t>
  </si>
  <si>
    <t>Sexo</t>
  </si>
  <si>
    <t>Mujer</t>
  </si>
  <si>
    <t>#</t>
  </si>
  <si>
    <t>Provisión matemática</t>
  </si>
  <si>
    <t>Hombre</t>
  </si>
  <si>
    <t>En la pestaña Pólizas se muestran las características de 10 pólizas de seguros de rentas vitalicias, cuya provisión matemática debe estimarse a partir de la información relativa a tasas de mortalidad de la pestaña Hip. Actuarial.</t>
  </si>
  <si>
    <t>Para ello, se dispone de la pestaña Cálculo provisión, para desarrollar una calculadora de flujos de las pólizas.</t>
  </si>
  <si>
    <t>El producto ofertado a los clientes puede incluir flujos anuales y también un flujo final a abonar en el momento del fallecimiento.</t>
  </si>
  <si>
    <t>Asumiremos un tipo de interés constante del 1% para descontar los flujos probabilizados de los distintos seguros.</t>
  </si>
  <si>
    <t>Las columnas H e I de la pestaña Hip. Actuarial reflejan la probabilidad de fallecimiento para cada determinada edad, incluyendo el factor de mejora correspondiente, que depende del año de cálculo.</t>
  </si>
  <si>
    <t xml:space="preserve">ID </t>
  </si>
  <si>
    <t xml:space="preserve">IMPORTANTE : </t>
  </si>
  <si>
    <t xml:space="preserve">cuando haga la tabla de datos tengo que coger toda la tabla </t>
  </si>
  <si>
    <t>y en columna referenciar a la celda donde pone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</si>
</sst>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.0000"/>
    <numFmt numFmtId="166" formatCode="0.0000%"/>
    <numFmt numFmtId="167" formatCode="_-* #,##0\ _€_-;\-* #,##0\ _€_-;_-* &quot;-&quot;??\ _€_-;_-@_-"/>
    <numFmt numFmtId="168" formatCode="0.000000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0"/>
      <name val="Tahoma"/>
      <family val="2"/>
    </font>
    <font>
      <sz val="10"/>
      <name val="Tahoma"/>
      <family val="2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5" fillId="0" borderId="0" xfId="0" applyFont="1"/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1" fontId="5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6" fontId="5" fillId="4" borderId="5" xfId="2" applyNumberFormat="1" applyFont="1" applyFill="1" applyBorder="1" applyAlignment="1">
      <alignment horizontal="center"/>
    </xf>
    <xf numFmtId="166" fontId="5" fillId="4" borderId="6" xfId="2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6" fontId="5" fillId="4" borderId="9" xfId="2" applyNumberFormat="1" applyFont="1" applyFill="1" applyBorder="1" applyAlignment="1">
      <alignment horizontal="center"/>
    </xf>
    <xf numFmtId="166" fontId="5" fillId="4" borderId="7" xfId="2" applyNumberFormat="1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6" fontId="5" fillId="4" borderId="2" xfId="2" applyNumberFormat="1" applyFont="1" applyFill="1" applyBorder="1" applyAlignment="1">
      <alignment horizontal="center"/>
    </xf>
    <xf numFmtId="166" fontId="5" fillId="4" borderId="11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5" borderId="0" xfId="0" applyFill="1"/>
    <xf numFmtId="167" fontId="0" fillId="0" borderId="0" xfId="1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0" fillId="6" borderId="0" xfId="0" applyFill="1" applyAlignment="1">
      <alignment horizontal="center"/>
    </xf>
    <xf numFmtId="167" fontId="0" fillId="6" borderId="0" xfId="1" applyNumberFormat="1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13" fillId="0" borderId="0" xfId="0" applyFont="1" applyFill="1"/>
    <xf numFmtId="168" fontId="0" fillId="0" borderId="0" xfId="2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0" xfId="0" applyNumberFormat="1" applyFill="1"/>
    <xf numFmtId="0" fontId="0" fillId="0" borderId="0" xfId="0" applyFill="1"/>
    <xf numFmtId="0" fontId="11" fillId="0" borderId="0" xfId="0" applyFont="1" applyFill="1" applyAlignment="1">
      <alignment horizontal="center"/>
    </xf>
    <xf numFmtId="0" fontId="1" fillId="0" borderId="0" xfId="0" applyFont="1"/>
    <xf numFmtId="0" fontId="8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7" borderId="0" xfId="0" applyFill="1"/>
    <xf numFmtId="0" fontId="0" fillId="8" borderId="0" xfId="0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9"/>
  <sheetViews>
    <sheetView showGridLines="0" topLeftCell="A3" zoomScale="125" zoomScaleNormal="100" workbookViewId="0">
      <selection activeCell="B7" sqref="B7"/>
    </sheetView>
  </sheetViews>
  <sheetFormatPr baseColWidth="10" defaultRowHeight="15" x14ac:dyDescent="0.2"/>
  <cols>
    <col min="1" max="1" width="5.6640625" customWidth="1"/>
  </cols>
  <sheetData>
    <row r="4" spans="2:2" ht="16" x14ac:dyDescent="0.2">
      <c r="B4" s="40" t="s">
        <v>30</v>
      </c>
    </row>
    <row r="5" spans="2:2" ht="16" x14ac:dyDescent="0.2">
      <c r="B5" s="40" t="s">
        <v>31</v>
      </c>
    </row>
    <row r="6" spans="2:2" ht="16" x14ac:dyDescent="0.2">
      <c r="B6" s="40"/>
    </row>
    <row r="7" spans="2:2" ht="16" x14ac:dyDescent="0.2">
      <c r="B7" s="50" t="s">
        <v>32</v>
      </c>
    </row>
    <row r="8" spans="2:2" ht="16" x14ac:dyDescent="0.2">
      <c r="B8" s="40" t="s">
        <v>33</v>
      </c>
    </row>
    <row r="9" spans="2:2" ht="16" x14ac:dyDescent="0.2">
      <c r="B9" s="4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9"/>
  <sheetViews>
    <sheetView showGridLines="0" zoomScale="125" workbookViewId="0">
      <selection activeCell="M7" sqref="M7"/>
    </sheetView>
  </sheetViews>
  <sheetFormatPr baseColWidth="10" defaultRowHeight="15" x14ac:dyDescent="0.2"/>
  <cols>
    <col min="1" max="1" width="5.6640625" customWidth="1"/>
    <col min="5" max="6" width="12" bestFit="1" customWidth="1"/>
    <col min="7" max="7" width="20.33203125" bestFit="1" customWidth="1"/>
    <col min="10" max="10" width="10.83203125" customWidth="1"/>
    <col min="11" max="11" width="12.1640625" bestFit="1" customWidth="1"/>
  </cols>
  <sheetData>
    <row r="2" spans="2:17" x14ac:dyDescent="0.2">
      <c r="L2" t="s">
        <v>35</v>
      </c>
      <c r="M2">
        <v>1</v>
      </c>
    </row>
    <row r="3" spans="2:17" x14ac:dyDescent="0.2">
      <c r="B3" s="32" t="s">
        <v>27</v>
      </c>
      <c r="C3" s="32" t="s">
        <v>2</v>
      </c>
      <c r="D3" s="32" t="s">
        <v>25</v>
      </c>
      <c r="E3" s="32" t="s">
        <v>15</v>
      </c>
      <c r="F3" s="32" t="s">
        <v>16</v>
      </c>
      <c r="G3" s="32" t="s">
        <v>28</v>
      </c>
      <c r="J3" s="49"/>
      <c r="K3" s="42">
        <f>IFERROR( 'Cálculo provisión'!L9, -1)</f>
        <v>355072.83863056835</v>
      </c>
    </row>
    <row r="4" spans="2:17" x14ac:dyDescent="0.2">
      <c r="B4" s="31">
        <v>1</v>
      </c>
      <c r="C4" s="31">
        <v>60</v>
      </c>
      <c r="D4" s="31" t="s">
        <v>26</v>
      </c>
      <c r="E4" s="34">
        <v>12000</v>
      </c>
      <c r="F4" s="34">
        <v>20000</v>
      </c>
      <c r="G4" s="46">
        <f>K4</f>
        <v>355072.83863056835</v>
      </c>
      <c r="J4" s="31">
        <v>1</v>
      </c>
      <c r="K4" s="33">
        <f t="dataTable" ref="K4:K13" dt2D="0" dtr="0" r1="M2"/>
        <v>355072.83863056835</v>
      </c>
      <c r="L4" s="53" t="s">
        <v>36</v>
      </c>
      <c r="M4" s="54" t="s">
        <v>37</v>
      </c>
      <c r="N4" s="54"/>
      <c r="O4" s="54"/>
      <c r="P4" s="54"/>
      <c r="Q4" s="54"/>
    </row>
    <row r="5" spans="2:17" x14ac:dyDescent="0.2">
      <c r="B5" s="31">
        <v>2</v>
      </c>
      <c r="C5" s="31">
        <v>54</v>
      </c>
      <c r="D5" s="31" t="s">
        <v>26</v>
      </c>
      <c r="E5" s="34">
        <v>10000</v>
      </c>
      <c r="F5" s="34"/>
      <c r="G5" s="46">
        <f t="shared" ref="G5:G13" si="0">K5</f>
        <v>325731.29069292115</v>
      </c>
      <c r="J5" s="31">
        <v>2</v>
      </c>
      <c r="K5" s="33">
        <v>325731.29069292115</v>
      </c>
      <c r="M5" s="54" t="s">
        <v>38</v>
      </c>
      <c r="N5" s="54"/>
      <c r="O5" s="54"/>
      <c r="P5" s="54"/>
      <c r="Q5" s="54"/>
    </row>
    <row r="6" spans="2:17" x14ac:dyDescent="0.2">
      <c r="B6" s="31">
        <v>3</v>
      </c>
      <c r="C6" s="31">
        <v>65</v>
      </c>
      <c r="D6" s="31" t="s">
        <v>29</v>
      </c>
      <c r="E6" s="34">
        <v>18000</v>
      </c>
      <c r="F6" s="34">
        <v>100000</v>
      </c>
      <c r="G6" s="46">
        <f t="shared" si="0"/>
        <v>492996.21985274489</v>
      </c>
      <c r="J6" s="31">
        <v>3</v>
      </c>
      <c r="K6" s="33">
        <v>492996.21985274489</v>
      </c>
    </row>
    <row r="7" spans="2:17" x14ac:dyDescent="0.2">
      <c r="B7" s="31">
        <v>4</v>
      </c>
      <c r="C7" s="31">
        <v>57</v>
      </c>
      <c r="D7" s="31" t="s">
        <v>26</v>
      </c>
      <c r="E7" s="34">
        <v>15000</v>
      </c>
      <c r="F7" s="34">
        <v>20000</v>
      </c>
      <c r="G7" s="46">
        <f t="shared" si="0"/>
        <v>471518.09752941562</v>
      </c>
      <c r="J7" s="31">
        <v>4</v>
      </c>
      <c r="K7" s="33">
        <v>471518.09752941562</v>
      </c>
    </row>
    <row r="8" spans="2:17" x14ac:dyDescent="0.2">
      <c r="B8" s="31">
        <v>5</v>
      </c>
      <c r="C8" s="31">
        <v>46</v>
      </c>
      <c r="D8" s="31" t="s">
        <v>29</v>
      </c>
      <c r="E8" s="34">
        <v>16000</v>
      </c>
      <c r="F8" s="34">
        <v>40000</v>
      </c>
      <c r="G8" s="46">
        <f t="shared" si="0"/>
        <v>589730.48013531277</v>
      </c>
      <c r="J8" s="31">
        <v>5</v>
      </c>
      <c r="K8" s="33">
        <v>589730.48013531277</v>
      </c>
    </row>
    <row r="9" spans="2:17" x14ac:dyDescent="0.2">
      <c r="B9" s="31">
        <v>6</v>
      </c>
      <c r="C9" s="31">
        <v>66</v>
      </c>
      <c r="D9" s="31" t="s">
        <v>29</v>
      </c>
      <c r="E9" s="34">
        <v>12000</v>
      </c>
      <c r="F9" s="34"/>
      <c r="G9" s="46">
        <f t="shared" si="0"/>
        <v>270222.21201569401</v>
      </c>
      <c r="J9" s="31">
        <v>6</v>
      </c>
      <c r="K9" s="33">
        <v>270222.21201569401</v>
      </c>
    </row>
    <row r="10" spans="2:17" x14ac:dyDescent="0.2">
      <c r="B10" s="31">
        <v>7</v>
      </c>
      <c r="C10" s="31">
        <v>72</v>
      </c>
      <c r="D10" s="31" t="s">
        <v>26</v>
      </c>
      <c r="E10" s="34">
        <v>20000</v>
      </c>
      <c r="F10" s="34"/>
      <c r="G10" s="46">
        <f t="shared" si="0"/>
        <v>389805.3226778509</v>
      </c>
      <c r="J10" s="31">
        <v>7</v>
      </c>
      <c r="K10" s="33">
        <v>389805.3226778509</v>
      </c>
    </row>
    <row r="11" spans="2:17" x14ac:dyDescent="0.2">
      <c r="B11" s="31">
        <v>8</v>
      </c>
      <c r="C11" s="31">
        <v>59</v>
      </c>
      <c r="D11" s="31" t="s">
        <v>26</v>
      </c>
      <c r="E11" s="34">
        <v>10000</v>
      </c>
      <c r="F11" s="34">
        <v>10000</v>
      </c>
      <c r="G11" s="46">
        <f t="shared" si="0"/>
        <v>298187.93996584468</v>
      </c>
      <c r="J11" s="31">
        <v>8</v>
      </c>
      <c r="K11" s="33">
        <v>298187.93996584468</v>
      </c>
    </row>
    <row r="12" spans="2:17" x14ac:dyDescent="0.2">
      <c r="B12" s="31">
        <v>9</v>
      </c>
      <c r="C12" s="31">
        <v>68</v>
      </c>
      <c r="D12" s="31" t="s">
        <v>29</v>
      </c>
      <c r="E12" s="34">
        <v>12000</v>
      </c>
      <c r="F12" s="34">
        <v>50000</v>
      </c>
      <c r="G12" s="46">
        <f t="shared" si="0"/>
        <v>293796.13136514759</v>
      </c>
      <c r="J12" s="31">
        <v>9</v>
      </c>
      <c r="K12" s="33">
        <v>293796.13136514759</v>
      </c>
    </row>
    <row r="13" spans="2:17" x14ac:dyDescent="0.2">
      <c r="B13" s="31">
        <v>10</v>
      </c>
      <c r="C13" s="31">
        <v>62</v>
      </c>
      <c r="D13" s="31" t="s">
        <v>26</v>
      </c>
      <c r="E13" s="34">
        <v>25000</v>
      </c>
      <c r="F13" s="34">
        <v>100000</v>
      </c>
      <c r="G13" s="46">
        <f t="shared" si="0"/>
        <v>746623.64739972516</v>
      </c>
      <c r="J13" s="31">
        <v>10</v>
      </c>
      <c r="K13" s="33">
        <v>746623.64739972516</v>
      </c>
    </row>
    <row r="16" spans="2:17" x14ac:dyDescent="0.2">
      <c r="K16" s="42"/>
    </row>
    <row r="17" spans="2:10" x14ac:dyDescent="0.2">
      <c r="J17" s="31"/>
    </row>
    <row r="18" spans="2:10" x14ac:dyDescent="0.2">
      <c r="J18" s="31"/>
    </row>
    <row r="19" spans="2:10" x14ac:dyDescent="0.2">
      <c r="J19" s="31"/>
    </row>
    <row r="20" spans="2:10" x14ac:dyDescent="0.2">
      <c r="B20" s="31"/>
      <c r="C20" s="31"/>
      <c r="D20" s="31"/>
      <c r="E20" s="34"/>
      <c r="F20" s="34"/>
      <c r="J20" s="31"/>
    </row>
    <row r="21" spans="2:10" x14ac:dyDescent="0.2">
      <c r="B21" s="31"/>
      <c r="C21" s="31"/>
      <c r="D21" s="31"/>
      <c r="E21" s="34"/>
      <c r="F21" s="34"/>
      <c r="J21" s="31"/>
    </row>
    <row r="22" spans="2:10" x14ac:dyDescent="0.2">
      <c r="B22" s="31"/>
      <c r="C22" s="31"/>
      <c r="D22" s="31"/>
      <c r="E22" s="34"/>
      <c r="F22" s="34"/>
      <c r="J22" s="31"/>
    </row>
    <row r="23" spans="2:10" x14ac:dyDescent="0.2">
      <c r="B23" s="31"/>
      <c r="C23" s="31"/>
      <c r="D23" s="31"/>
      <c r="E23" s="34"/>
      <c r="F23" s="34"/>
      <c r="J23" s="31"/>
    </row>
    <row r="24" spans="2:10" x14ac:dyDescent="0.2">
      <c r="B24" s="31"/>
      <c r="C24" s="31"/>
      <c r="D24" s="31"/>
      <c r="E24" s="34"/>
      <c r="F24" s="34"/>
      <c r="J24" s="31"/>
    </row>
    <row r="25" spans="2:10" x14ac:dyDescent="0.2">
      <c r="B25" s="31"/>
      <c r="C25" s="31"/>
      <c r="D25" s="31"/>
      <c r="E25" s="34"/>
      <c r="F25" s="34"/>
      <c r="J25" s="31"/>
    </row>
    <row r="26" spans="2:10" x14ac:dyDescent="0.2">
      <c r="B26" s="31"/>
      <c r="C26" s="31"/>
      <c r="D26" s="31"/>
      <c r="E26" s="34"/>
      <c r="F26" s="34"/>
      <c r="J26" s="31"/>
    </row>
    <row r="27" spans="2:10" x14ac:dyDescent="0.2">
      <c r="B27" s="31"/>
      <c r="C27" s="31"/>
      <c r="D27" s="31"/>
      <c r="E27" s="34"/>
      <c r="F27" s="34"/>
    </row>
    <row r="28" spans="2:10" x14ac:dyDescent="0.2">
      <c r="B28" s="31"/>
      <c r="C28" s="31"/>
      <c r="D28" s="31"/>
      <c r="E28" s="34"/>
      <c r="F28" s="34"/>
    </row>
    <row r="29" spans="2:10" x14ac:dyDescent="0.2">
      <c r="B29" s="31"/>
      <c r="C29" s="31"/>
      <c r="D29" s="31"/>
      <c r="E29" s="34"/>
      <c r="F29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12"/>
  <sheetViews>
    <sheetView showGridLines="0" tabSelected="1" zoomScale="133" zoomScaleNormal="92" workbookViewId="0">
      <selection activeCell="G13" sqref="G13"/>
    </sheetView>
  </sheetViews>
  <sheetFormatPr baseColWidth="10" defaultRowHeight="15" x14ac:dyDescent="0.2"/>
  <cols>
    <col min="1" max="1" width="5.6640625" customWidth="1"/>
    <col min="3" max="3" width="12" bestFit="1" customWidth="1"/>
    <col min="10" max="10" width="11.5" customWidth="1"/>
    <col min="11" max="11" width="11.33203125" customWidth="1"/>
    <col min="12" max="12" width="15.5" customWidth="1"/>
  </cols>
  <sheetData>
    <row r="2" spans="2:12" x14ac:dyDescent="0.2">
      <c r="C2" s="48"/>
    </row>
    <row r="3" spans="2:12" x14ac:dyDescent="0.2">
      <c r="B3" s="35" t="s">
        <v>2</v>
      </c>
      <c r="C3" s="36">
        <f>VLOOKUP(Pólizas!$M$2,Pólizas!$B$4:$F$13,2)</f>
        <v>60</v>
      </c>
    </row>
    <row r="4" spans="2:12" x14ac:dyDescent="0.2">
      <c r="B4" s="35" t="s">
        <v>25</v>
      </c>
      <c r="C4" s="36" t="str">
        <f>VLOOKUP(Pólizas!$M$2,Pólizas!$B$4:$F$13,3)</f>
        <v>Mujer</v>
      </c>
      <c r="E4" s="43"/>
      <c r="F4" s="43"/>
      <c r="G4" s="43"/>
      <c r="H4" s="43"/>
    </row>
    <row r="5" spans="2:12" x14ac:dyDescent="0.2">
      <c r="B5" s="35" t="s">
        <v>15</v>
      </c>
      <c r="C5" s="37">
        <f>VLOOKUP(Pólizas!$M$2,Pólizas!$B$4:$F$13,4)</f>
        <v>12000</v>
      </c>
    </row>
    <row r="6" spans="2:12" x14ac:dyDescent="0.2">
      <c r="B6" s="35" t="s">
        <v>16</v>
      </c>
      <c r="C6" s="37">
        <f>VLOOKUP(Pólizas!$M$2,Pólizas!$B$4:$F$13,5)</f>
        <v>20000</v>
      </c>
    </row>
    <row r="8" spans="2:12" x14ac:dyDescent="0.2">
      <c r="E8" s="35" t="s">
        <v>14</v>
      </c>
      <c r="F8" s="38">
        <v>0.01</v>
      </c>
    </row>
    <row r="9" spans="2:12" x14ac:dyDescent="0.2">
      <c r="K9" s="35" t="s">
        <v>24</v>
      </c>
      <c r="L9" s="47">
        <f>SUM(L12:L112)</f>
        <v>355072.83863056835</v>
      </c>
    </row>
    <row r="11" spans="2:12" x14ac:dyDescent="0.2">
      <c r="C11" s="32" t="s">
        <v>17</v>
      </c>
      <c r="D11" s="32" t="s">
        <v>2</v>
      </c>
      <c r="E11" s="32" t="s">
        <v>18</v>
      </c>
      <c r="F11" s="32" t="s">
        <v>19</v>
      </c>
      <c r="G11" s="32" t="s">
        <v>20</v>
      </c>
      <c r="H11" s="32" t="s">
        <v>21</v>
      </c>
      <c r="I11" s="32" t="s">
        <v>22</v>
      </c>
      <c r="J11" s="32" t="s">
        <v>15</v>
      </c>
      <c r="K11" s="32" t="s">
        <v>16</v>
      </c>
      <c r="L11" s="32" t="s">
        <v>23</v>
      </c>
    </row>
    <row r="12" spans="2:12" x14ac:dyDescent="0.2">
      <c r="C12" s="31">
        <v>0</v>
      </c>
      <c r="D12" s="31">
        <f>$C$3 +C12</f>
        <v>60</v>
      </c>
      <c r="E12" s="39">
        <f>1/(1+$F$8)</f>
        <v>0.99009900990099009</v>
      </c>
      <c r="F12" s="31">
        <f>1/(1+$F$8)^(C12+1)</f>
        <v>0.99009900990099009</v>
      </c>
      <c r="G12" s="44">
        <f>IFERROR( IF($C$4="Hombre", VLOOKUP(D12, 'Hip Actuarial'!$B$8:$I$118, 7, 0), VLOOKUP(D12, 'Hip Actuarial'!$B$8:$I$118, 8, 0) ), 1)</f>
        <v>9.1679047430657981E-4</v>
      </c>
      <c r="H12" s="45">
        <f>1-G12</f>
        <v>0.99908320952569341</v>
      </c>
      <c r="I12" s="31">
        <v>1</v>
      </c>
      <c r="J12" s="41">
        <f>$C$5*I12*F12*H12</f>
        <v>11870.295558721109</v>
      </c>
      <c r="K12" s="41">
        <f>$C$6*(I12*G12)*F12</f>
        <v>18.154266817952074</v>
      </c>
      <c r="L12" s="41">
        <f>J12+K12</f>
        <v>11888.449825539061</v>
      </c>
    </row>
    <row r="13" spans="2:12" x14ac:dyDescent="0.2">
      <c r="C13" s="31">
        <v>1</v>
      </c>
      <c r="D13" s="31">
        <f t="shared" ref="D13:D76" si="0">$C$3 +C13</f>
        <v>61</v>
      </c>
      <c r="E13" s="39">
        <f>1/(1+$F$8)</f>
        <v>0.99009900990099009</v>
      </c>
      <c r="F13" s="31">
        <f t="shared" ref="F13:F76" si="1">1/(1+$F$8)^(C13+1)</f>
        <v>0.98029604940692083</v>
      </c>
      <c r="G13" s="44">
        <f>IFERROR( IF($C$4="Hombre", VLOOKUP(D13, 'Hip Actuarial'!$B$8:$I$118, 7, 0), VLOOKUP(D13, 'Hip Actuarial'!$B$8:$I$118, 8, 0) ), 1 )</f>
        <v>9.6986020465055281E-4</v>
      </c>
      <c r="H13" s="45">
        <f>1-G13</f>
        <v>0.99903013979534949</v>
      </c>
      <c r="I13" s="31">
        <f>I12*H12</f>
        <v>0.99908320952569341</v>
      </c>
      <c r="J13" s="41">
        <f t="shared" ref="J13:J76" si="2">$C$5*I13*F13*H13</f>
        <v>11741.36933806066</v>
      </c>
      <c r="K13" s="41">
        <f t="shared" ref="K13:K76" si="3">$C$6*(I13*G13)*F13</f>
        <v>18.997569768719146</v>
      </c>
      <c r="L13" s="41">
        <f t="shared" ref="L13:L76" si="4">J13+K13</f>
        <v>11760.366907829379</v>
      </c>
    </row>
    <row r="14" spans="2:12" x14ac:dyDescent="0.2">
      <c r="C14" s="31">
        <v>2</v>
      </c>
      <c r="D14" s="31">
        <f t="shared" si="0"/>
        <v>62</v>
      </c>
      <c r="E14" s="39">
        <f t="shared" ref="E12:E76" si="5">1/(1+$F$8)</f>
        <v>0.99009900990099009</v>
      </c>
      <c r="F14" s="31">
        <f t="shared" si="1"/>
        <v>0.97059014792764453</v>
      </c>
      <c r="G14" s="44">
        <f>IFERROR( IF($C$4="Hombre", VLOOKUP(D14, 'Hip Actuarial'!$B$8:$I$118, 7, 0), VLOOKUP(D14, 'Hip Actuarial'!$B$8:$I$118, 8, 0) ), 1 )</f>
        <v>1.0379705897610061E-3</v>
      </c>
      <c r="H14" s="45">
        <f t="shared" ref="H14:H76" si="6">1-G14</f>
        <v>0.99896202941023904</v>
      </c>
      <c r="I14" s="31">
        <f>I13*H13</f>
        <v>0.99811423847963998</v>
      </c>
      <c r="J14" s="41">
        <f t="shared" si="2"/>
        <v>11613.051625746766</v>
      </c>
      <c r="K14" s="41">
        <f t="shared" si="3"/>
        <v>20.110884581565376</v>
      </c>
      <c r="L14" s="41">
        <f t="shared" si="4"/>
        <v>11633.162510328331</v>
      </c>
    </row>
    <row r="15" spans="2:12" x14ac:dyDescent="0.2">
      <c r="C15" s="31">
        <v>3</v>
      </c>
      <c r="D15" s="31">
        <f t="shared" si="0"/>
        <v>63</v>
      </c>
      <c r="E15" s="39">
        <f t="shared" si="5"/>
        <v>0.99009900990099009</v>
      </c>
      <c r="F15" s="31">
        <f t="shared" si="1"/>
        <v>0.96098034448281622</v>
      </c>
      <c r="G15" s="44">
        <f>IFERROR( IF($C$4="Hombre", VLOOKUP(D15, 'Hip Actuarial'!$B$8:$I$118, 7, 0), VLOOKUP(D15, 'Hip Actuarial'!$B$8:$I$118, 8, 0) ), 1 )</f>
        <v>1.1135978477647657E-3</v>
      </c>
      <c r="H15" s="45">
        <f t="shared" si="6"/>
        <v>0.99888640215223523</v>
      </c>
      <c r="I15" s="31">
        <f>I14*H14</f>
        <v>0.99707822525487644</v>
      </c>
      <c r="J15" s="41">
        <f t="shared" si="2"/>
        <v>11485.266689554803</v>
      </c>
      <c r="K15" s="41">
        <f t="shared" si="3"/>
        <v>21.340378376918665</v>
      </c>
      <c r="L15" s="41">
        <f t="shared" si="4"/>
        <v>11506.607067931722</v>
      </c>
    </row>
    <row r="16" spans="2:12" x14ac:dyDescent="0.2">
      <c r="C16" s="31">
        <v>4</v>
      </c>
      <c r="D16" s="31">
        <f t="shared" si="0"/>
        <v>64</v>
      </c>
      <c r="E16" s="39">
        <f t="shared" si="5"/>
        <v>0.99009900990099009</v>
      </c>
      <c r="F16" s="31">
        <f t="shared" si="1"/>
        <v>0.95146568760674888</v>
      </c>
      <c r="G16" s="44">
        <f>IFERROR( IF($C$4="Hombre", VLOOKUP(D16, 'Hip Actuarial'!$B$8:$I$118, 7, 0), VLOOKUP(D16, 'Hip Actuarial'!$B$8:$I$118, 8, 0) ), 1 )</f>
        <v>1.2042274873634324E-3</v>
      </c>
      <c r="H16" s="45">
        <f t="shared" si="6"/>
        <v>0.99879577251263651</v>
      </c>
      <c r="I16" s="31">
        <f t="shared" ref="I16:I77" si="7">I15*H15</f>
        <v>0.99596788108917944</v>
      </c>
      <c r="J16" s="41">
        <f t="shared" si="2"/>
        <v>11357.857243274793</v>
      </c>
      <c r="K16" s="41">
        <f t="shared" si="3"/>
        <v>22.823224170398529</v>
      </c>
      <c r="L16" s="41">
        <f t="shared" si="4"/>
        <v>11380.680467445192</v>
      </c>
    </row>
    <row r="17" spans="3:12" x14ac:dyDescent="0.2">
      <c r="C17" s="31">
        <v>5</v>
      </c>
      <c r="D17" s="31">
        <f t="shared" si="0"/>
        <v>65</v>
      </c>
      <c r="E17" s="39">
        <f t="shared" si="5"/>
        <v>0.99009900990099009</v>
      </c>
      <c r="F17" s="31">
        <f t="shared" si="1"/>
        <v>0.94204523525420658</v>
      </c>
      <c r="G17" s="44">
        <f>IFERROR( IF($C$4="Hombre", VLOOKUP(D17, 'Hip Actuarial'!$B$8:$I$118, 7, 0), VLOOKUP(D17, 'Hip Actuarial'!$B$8:$I$118, 8, 0) ), 1 )</f>
        <v>1.302551152191887E-3</v>
      </c>
      <c r="H17" s="45">
        <f t="shared" si="6"/>
        <v>0.99869744884780809</v>
      </c>
      <c r="I17" s="31">
        <f t="shared" si="7"/>
        <v>0.99476850919024074</v>
      </c>
      <c r="J17" s="41">
        <f t="shared" si="2"/>
        <v>11230.755498253597</v>
      </c>
      <c r="K17" s="41">
        <f t="shared" si="3"/>
        <v>24.412854849271536</v>
      </c>
      <c r="L17" s="41">
        <f t="shared" si="4"/>
        <v>11255.168353102868</v>
      </c>
    </row>
    <row r="18" spans="3:12" x14ac:dyDescent="0.2">
      <c r="C18" s="31">
        <v>6</v>
      </c>
      <c r="D18" s="31">
        <f t="shared" si="0"/>
        <v>66</v>
      </c>
      <c r="E18" s="39">
        <f t="shared" si="5"/>
        <v>0.99009900990099009</v>
      </c>
      <c r="F18" s="31">
        <f t="shared" si="1"/>
        <v>0.93271805470713554</v>
      </c>
      <c r="G18" s="44">
        <f>IFERROR( IF($C$4="Hombre", VLOOKUP(D18, 'Hip Actuarial'!$B$8:$I$118, 7, 0), VLOOKUP(D18, 'Hip Actuarial'!$B$8:$I$118, 8, 0) ), 1 )</f>
        <v>1.4161083824067249E-3</v>
      </c>
      <c r="H18" s="45">
        <f t="shared" si="6"/>
        <v>0.99858389161759331</v>
      </c>
      <c r="I18" s="31">
        <f t="shared" si="7"/>
        <v>0.99347277232243081</v>
      </c>
      <c r="J18" s="41">
        <f t="shared" si="2"/>
        <v>11103.813397278975</v>
      </c>
      <c r="K18" s="41">
        <f t="shared" si="3"/>
        <v>26.244169970028608</v>
      </c>
      <c r="L18" s="41">
        <f t="shared" si="4"/>
        <v>11130.057567249003</v>
      </c>
    </row>
    <row r="19" spans="3:12" x14ac:dyDescent="0.2">
      <c r="C19" s="31">
        <v>7</v>
      </c>
      <c r="D19" s="31">
        <f t="shared" si="0"/>
        <v>67</v>
      </c>
      <c r="E19" s="39">
        <f t="shared" si="5"/>
        <v>0.99009900990099009</v>
      </c>
      <c r="F19" s="31">
        <f t="shared" si="1"/>
        <v>0.92348322248231218</v>
      </c>
      <c r="G19" s="44">
        <f>IFERROR( IF($C$4="Hombre", VLOOKUP(D19, 'Hip Actuarial'!$B$8:$I$118, 7, 0), VLOOKUP(D19, 'Hip Actuarial'!$B$8:$I$118, 8, 0) ), 1 )</f>
        <v>1.5524250228479233E-3</v>
      </c>
      <c r="H19" s="45">
        <f t="shared" si="6"/>
        <v>0.99844757497715209</v>
      </c>
      <c r="I19" s="31">
        <f t="shared" si="7"/>
        <v>0.99206590720185217</v>
      </c>
      <c r="J19" s="41">
        <f t="shared" si="2"/>
        <v>10976.807484665347</v>
      </c>
      <c r="K19" s="41">
        <f t="shared" si="3"/>
        <v>28.445276843184629</v>
      </c>
      <c r="L19" s="41">
        <f t="shared" si="4"/>
        <v>11005.252761508531</v>
      </c>
    </row>
    <row r="20" spans="3:12" x14ac:dyDescent="0.2">
      <c r="C20" s="31">
        <v>8</v>
      </c>
      <c r="D20" s="31">
        <f t="shared" si="0"/>
        <v>68</v>
      </c>
      <c r="E20" s="39">
        <f t="shared" si="5"/>
        <v>0.99009900990099009</v>
      </c>
      <c r="F20" s="31">
        <f t="shared" si="1"/>
        <v>0.91433982423991289</v>
      </c>
      <c r="G20" s="44">
        <f>IFERROR( IF($C$4="Hombre", VLOOKUP(D20, 'Hip Actuarial'!$B$8:$I$118, 7, 0), VLOOKUP(D20, 'Hip Actuarial'!$B$8:$I$118, 8, 0) ), 1 )</f>
        <v>1.7044494582079156E-3</v>
      </c>
      <c r="H20" s="45">
        <f t="shared" si="6"/>
        <v>0.99829555054179209</v>
      </c>
      <c r="I20" s="31">
        <f t="shared" si="7"/>
        <v>0.99052579926319773</v>
      </c>
      <c r="J20" s="41">
        <f t="shared" si="2"/>
        <v>10849.602050589363</v>
      </c>
      <c r="K20" s="41">
        <f t="shared" si="3"/>
        <v>30.873619752624496</v>
      </c>
      <c r="L20" s="41">
        <f t="shared" si="4"/>
        <v>10880.475670341988</v>
      </c>
    </row>
    <row r="21" spans="3:12" x14ac:dyDescent="0.2">
      <c r="C21" s="31">
        <v>9</v>
      </c>
      <c r="D21" s="31">
        <f t="shared" si="0"/>
        <v>69</v>
      </c>
      <c r="E21" s="39">
        <f t="shared" si="5"/>
        <v>0.99009900990099009</v>
      </c>
      <c r="F21" s="31">
        <f t="shared" si="1"/>
        <v>0.90528695469298315</v>
      </c>
      <c r="G21" s="44">
        <f>IFERROR( IF($C$4="Hombre", VLOOKUP(D21, 'Hip Actuarial'!$B$8:$I$118, 7, 0), VLOOKUP(D21, 'Hip Actuarial'!$B$8:$I$118, 8, 0) ), 1 )</f>
        <v>1.8798917970144896E-3</v>
      </c>
      <c r="H21" s="45">
        <f t="shared" si="6"/>
        <v>0.99812010820298547</v>
      </c>
      <c r="I21" s="31">
        <f t="shared" si="7"/>
        <v>0.98883749810130261</v>
      </c>
      <c r="J21" s="41">
        <f t="shared" si="2"/>
        <v>10721.986111577811</v>
      </c>
      <c r="K21" s="41">
        <f t="shared" si="3"/>
        <v>33.656894217449718</v>
      </c>
      <c r="L21" s="41">
        <f t="shared" si="4"/>
        <v>10755.64300579526</v>
      </c>
    </row>
    <row r="22" spans="3:12" x14ac:dyDescent="0.2">
      <c r="C22" s="31">
        <v>10</v>
      </c>
      <c r="D22" s="31">
        <f t="shared" si="0"/>
        <v>70</v>
      </c>
      <c r="E22" s="39">
        <f t="shared" si="5"/>
        <v>0.99009900990099009</v>
      </c>
      <c r="F22" s="31">
        <f t="shared" si="1"/>
        <v>0.89632371751780526</v>
      </c>
      <c r="G22" s="44">
        <f>IFERROR( IF($C$4="Hombre", VLOOKUP(D22, 'Hip Actuarial'!$B$8:$I$118, 7, 0), VLOOKUP(D22, 'Hip Actuarial'!$B$8:$I$118, 8, 0) ), 1 )</f>
        <v>2.0865762106220538E-3</v>
      </c>
      <c r="H22" s="45">
        <f t="shared" si="6"/>
        <v>0.99791342378937797</v>
      </c>
      <c r="I22" s="31">
        <f t="shared" si="7"/>
        <v>0.98697859060004156</v>
      </c>
      <c r="J22" s="41">
        <f t="shared" si="2"/>
        <v>10593.677099432451</v>
      </c>
      <c r="K22" s="41">
        <f t="shared" si="3"/>
        <v>36.917889688182051</v>
      </c>
      <c r="L22" s="41">
        <f t="shared" si="4"/>
        <v>10630.594989120633</v>
      </c>
    </row>
    <row r="23" spans="3:12" x14ac:dyDescent="0.2">
      <c r="C23" s="31">
        <v>11</v>
      </c>
      <c r="D23" s="31">
        <f t="shared" si="0"/>
        <v>71</v>
      </c>
      <c r="E23" s="39">
        <f t="shared" si="5"/>
        <v>0.99009900990099009</v>
      </c>
      <c r="F23" s="31">
        <f t="shared" si="1"/>
        <v>0.88744922526515368</v>
      </c>
      <c r="G23" s="44">
        <f>IFERROR( IF($C$4="Hombre", VLOOKUP(D23, 'Hip Actuarial'!$B$8:$I$118, 7, 0), VLOOKUP(D23, 'Hip Actuarial'!$B$8:$I$118, 8, 0) ), 1 )</f>
        <v>2.3251813091593799E-3</v>
      </c>
      <c r="H23" s="45">
        <f t="shared" si="6"/>
        <v>0.99767481869084063</v>
      </c>
      <c r="I23" s="31">
        <f t="shared" si="7"/>
        <v>0.98491918455250227</v>
      </c>
      <c r="J23" s="41">
        <f t="shared" si="2"/>
        <v>10464.400870738198</v>
      </c>
      <c r="K23" s="41">
        <f t="shared" si="3"/>
        <v>40.647227701105749</v>
      </c>
      <c r="L23" s="41">
        <f t="shared" si="4"/>
        <v>10505.048098439303</v>
      </c>
    </row>
    <row r="24" spans="3:12" x14ac:dyDescent="0.2">
      <c r="C24" s="31">
        <v>12</v>
      </c>
      <c r="D24" s="31">
        <f t="shared" si="0"/>
        <v>72</v>
      </c>
      <c r="E24" s="39">
        <f t="shared" si="5"/>
        <v>0.99009900990099009</v>
      </c>
      <c r="F24" s="31">
        <f t="shared" si="1"/>
        <v>0.87866259927242929</v>
      </c>
      <c r="G24" s="44">
        <f>IFERROR( IF($C$4="Hombre", VLOOKUP(D24, 'Hip Actuarial'!$B$8:$I$118, 7, 0), VLOOKUP(D24, 'Hip Actuarial'!$B$8:$I$118, 8, 0) ), 1 )</f>
        <v>2.6039160896362936E-3</v>
      </c>
      <c r="H24" s="45">
        <f t="shared" si="6"/>
        <v>0.99739608391036372</v>
      </c>
      <c r="I24" s="31">
        <f t="shared" si="7"/>
        <v>0.98262906887354828</v>
      </c>
      <c r="J24" s="41">
        <f t="shared" si="2"/>
        <v>10333.814305883641</v>
      </c>
      <c r="K24" s="41">
        <f t="shared" si="3"/>
        <v>44.964392402176948</v>
      </c>
      <c r="L24" s="41">
        <f t="shared" si="4"/>
        <v>10378.778698285818</v>
      </c>
    </row>
    <row r="25" spans="3:12" x14ac:dyDescent="0.2">
      <c r="C25" s="31">
        <v>13</v>
      </c>
      <c r="D25" s="31">
        <f t="shared" si="0"/>
        <v>73</v>
      </c>
      <c r="E25" s="39">
        <f t="shared" si="5"/>
        <v>0.99009900990099009</v>
      </c>
      <c r="F25" s="31">
        <f t="shared" si="1"/>
        <v>0.86996296957666264</v>
      </c>
      <c r="G25" s="44">
        <f>IFERROR( IF($C$4="Hombre", VLOOKUP(D25, 'Hip Actuarial'!$B$8:$I$118, 7, 0), VLOOKUP(D25, 'Hip Actuarial'!$B$8:$I$118, 8, 0) ), 1 )</f>
        <v>2.9312887857768357E-3</v>
      </c>
      <c r="H25" s="45">
        <f t="shared" si="6"/>
        <v>0.99706871121422314</v>
      </c>
      <c r="I25" s="31">
        <f t="shared" si="7"/>
        <v>0.98007038523096413</v>
      </c>
      <c r="J25" s="41">
        <f t="shared" si="2"/>
        <v>10201.507833558913</v>
      </c>
      <c r="K25" s="41">
        <f t="shared" si="3"/>
        <v>49.985798661942162</v>
      </c>
      <c r="L25" s="41">
        <f t="shared" si="4"/>
        <v>10251.493632220856</v>
      </c>
    </row>
    <row r="26" spans="3:12" x14ac:dyDescent="0.2">
      <c r="C26" s="31">
        <v>14</v>
      </c>
      <c r="D26" s="31">
        <f t="shared" si="0"/>
        <v>74</v>
      </c>
      <c r="E26" s="39">
        <f t="shared" si="5"/>
        <v>0.99009900990099009</v>
      </c>
      <c r="F26" s="31">
        <f t="shared" si="1"/>
        <v>0.86134947482837909</v>
      </c>
      <c r="G26" s="44">
        <f>IFERROR( IF($C$4="Hombre", VLOOKUP(D26, 'Hip Actuarial'!$B$8:$I$118, 7, 0), VLOOKUP(D26, 'Hip Actuarial'!$B$8:$I$118, 8, 0) ), 1 )</f>
        <v>3.3235923763114822E-3</v>
      </c>
      <c r="H26" s="45">
        <f t="shared" si="6"/>
        <v>0.99667640762368848</v>
      </c>
      <c r="I26" s="31">
        <f t="shared" si="7"/>
        <v>0.97719751590146464</v>
      </c>
      <c r="J26" s="41">
        <f t="shared" si="2"/>
        <v>10066.932851382593</v>
      </c>
      <c r="K26" s="41">
        <f t="shared" si="3"/>
        <v>55.949923535475719</v>
      </c>
      <c r="L26" s="41">
        <f t="shared" si="4"/>
        <v>10122.882774918069</v>
      </c>
    </row>
    <row r="27" spans="3:12" x14ac:dyDescent="0.2">
      <c r="C27" s="31">
        <v>15</v>
      </c>
      <c r="D27" s="31">
        <f t="shared" si="0"/>
        <v>75</v>
      </c>
      <c r="E27" s="39">
        <f t="shared" si="5"/>
        <v>0.99009900990099009</v>
      </c>
      <c r="F27" s="31">
        <f t="shared" si="1"/>
        <v>0.8528212622063156</v>
      </c>
      <c r="G27" s="44">
        <f>IFERROR( IF($C$4="Hombre", VLOOKUP(D27, 'Hip Actuarial'!$B$8:$I$118, 7, 0), VLOOKUP(D27, 'Hip Actuarial'!$B$8:$I$118, 8, 0) ), 1 )</f>
        <v>3.7828271012544218E-3</v>
      </c>
      <c r="H27" s="45">
        <f t="shared" si="6"/>
        <v>0.99621717289874556</v>
      </c>
      <c r="I27" s="31">
        <f t="shared" si="7"/>
        <v>0.97394970968746397</v>
      </c>
      <c r="J27" s="41">
        <f t="shared" si="2"/>
        <v>9929.555826698881</v>
      </c>
      <c r="K27" s="41">
        <f t="shared" si="3"/>
        <v>62.84070365795133</v>
      </c>
      <c r="L27" s="41">
        <f t="shared" si="4"/>
        <v>9992.396530356833</v>
      </c>
    </row>
    <row r="28" spans="3:12" x14ac:dyDescent="0.2">
      <c r="C28" s="31">
        <v>16</v>
      </c>
      <c r="D28" s="31">
        <f t="shared" si="0"/>
        <v>76</v>
      </c>
      <c r="E28" s="39">
        <f t="shared" si="5"/>
        <v>0.99009900990099009</v>
      </c>
      <c r="F28" s="31">
        <f t="shared" si="1"/>
        <v>0.84437748733298568</v>
      </c>
      <c r="G28" s="44">
        <f>IFERROR( IF($C$4="Hombre", VLOOKUP(D28, 'Hip Actuarial'!$B$8:$I$118, 7, 0), VLOOKUP(D28, 'Hip Actuarial'!$B$8:$I$118, 8, 0) ), 1 )</f>
        <v>4.2962914917171469E-3</v>
      </c>
      <c r="H28" s="45">
        <f t="shared" si="6"/>
        <v>0.99570370850828283</v>
      </c>
      <c r="I28" s="31">
        <f t="shared" si="7"/>
        <v>0.97026542633039936</v>
      </c>
      <c r="J28" s="41">
        <f t="shared" si="2"/>
        <v>9789.0055054298045</v>
      </c>
      <c r="K28" s="41">
        <f t="shared" si="3"/>
        <v>70.39647890227198</v>
      </c>
      <c r="L28" s="41">
        <f t="shared" si="4"/>
        <v>9859.4019843320766</v>
      </c>
    </row>
    <row r="29" spans="3:12" x14ac:dyDescent="0.2">
      <c r="C29" s="31">
        <v>17</v>
      </c>
      <c r="D29" s="31">
        <f t="shared" si="0"/>
        <v>77</v>
      </c>
      <c r="E29" s="39">
        <f t="shared" si="5"/>
        <v>0.99009900990099009</v>
      </c>
      <c r="F29" s="31">
        <f t="shared" si="1"/>
        <v>0.83601731419107495</v>
      </c>
      <c r="G29" s="44">
        <f>IFERROR( IF($C$4="Hombre", VLOOKUP(D29, 'Hip Actuarial'!$B$8:$I$118, 7, 0), VLOOKUP(D29, 'Hip Actuarial'!$B$8:$I$118, 8, 0) ), 1 )</f>
        <v>4.9062647007919969E-3</v>
      </c>
      <c r="H29" s="45">
        <f t="shared" si="6"/>
        <v>0.99509373529920797</v>
      </c>
      <c r="I29" s="31">
        <f t="shared" si="7"/>
        <v>0.96609688323454868</v>
      </c>
      <c r="J29" s="41">
        <f t="shared" si="2"/>
        <v>9644.5327260026297</v>
      </c>
      <c r="K29" s="41">
        <f t="shared" si="3"/>
        <v>79.253221397935278</v>
      </c>
      <c r="L29" s="41">
        <f t="shared" si="4"/>
        <v>9723.7859474005654</v>
      </c>
    </row>
    <row r="30" spans="3:12" x14ac:dyDescent="0.2">
      <c r="C30" s="31">
        <v>18</v>
      </c>
      <c r="D30" s="31">
        <f t="shared" si="0"/>
        <v>78</v>
      </c>
      <c r="E30" s="39">
        <f t="shared" si="5"/>
        <v>0.99009900990099009</v>
      </c>
      <c r="F30" s="31">
        <f t="shared" si="1"/>
        <v>0.82773991504066846</v>
      </c>
      <c r="G30" s="44">
        <f>IFERROR( IF($C$4="Hombre", VLOOKUP(D30, 'Hip Actuarial'!$B$8:$I$118, 7, 0), VLOOKUP(D30, 'Hip Actuarial'!$B$8:$I$118, 8, 0) ), 1 )</f>
        <v>5.6279455521847819E-3</v>
      </c>
      <c r="H30" s="45">
        <f t="shared" si="6"/>
        <v>0.99437205444781518</v>
      </c>
      <c r="I30" s="31">
        <f t="shared" si="7"/>
        <v>0.9613569561987898</v>
      </c>
      <c r="J30" s="41">
        <f t="shared" si="2"/>
        <v>9495.3008128162619</v>
      </c>
      <c r="K30" s="41">
        <f t="shared" si="3"/>
        <v>89.56915026106779</v>
      </c>
      <c r="L30" s="41">
        <f t="shared" si="4"/>
        <v>9584.8699630773299</v>
      </c>
    </row>
    <row r="31" spans="3:12" x14ac:dyDescent="0.2">
      <c r="C31" s="31">
        <v>19</v>
      </c>
      <c r="D31" s="31">
        <f t="shared" si="0"/>
        <v>79</v>
      </c>
      <c r="E31" s="39">
        <f t="shared" si="5"/>
        <v>0.99009900990099009</v>
      </c>
      <c r="F31" s="31">
        <f t="shared" si="1"/>
        <v>0.81954447033729538</v>
      </c>
      <c r="G31" s="44">
        <f>IFERROR( IF($C$4="Hombre", VLOOKUP(D31, 'Hip Actuarial'!$B$8:$I$118, 7, 0), VLOOKUP(D31, 'Hip Actuarial'!$B$8:$I$118, 8, 0) ), 1 )</f>
        <v>6.4903317419879748E-3</v>
      </c>
      <c r="H31" s="45">
        <f t="shared" si="6"/>
        <v>0.99350966825801201</v>
      </c>
      <c r="I31" s="31">
        <f t="shared" si="7"/>
        <v>0.95594649159308887</v>
      </c>
      <c r="J31" s="41">
        <f t="shared" si="2"/>
        <v>9340.2704559912036</v>
      </c>
      <c r="K31" s="41">
        <f t="shared" si="3"/>
        <v>101.69579581707194</v>
      </c>
      <c r="L31" s="41">
        <f t="shared" si="4"/>
        <v>9441.966251808275</v>
      </c>
    </row>
    <row r="32" spans="3:12" x14ac:dyDescent="0.2">
      <c r="C32" s="31">
        <v>20</v>
      </c>
      <c r="D32" s="31">
        <f t="shared" si="0"/>
        <v>80</v>
      </c>
      <c r="E32" s="39">
        <f t="shared" si="5"/>
        <v>0.99009900990099009</v>
      </c>
      <c r="F32" s="31">
        <f t="shared" si="1"/>
        <v>0.81143016865078765</v>
      </c>
      <c r="G32" s="44">
        <f>IFERROR( IF($C$4="Hombre", VLOOKUP(D32, 'Hip Actuarial'!$B$8:$I$118, 7, 0), VLOOKUP(D32, 'Hip Actuarial'!$B$8:$I$118, 8, 0) ), 1 )</f>
        <v>7.5380168562954163E-3</v>
      </c>
      <c r="H32" s="45">
        <f t="shared" si="6"/>
        <v>0.9924619831437046</v>
      </c>
      <c r="I32" s="31">
        <f t="shared" si="7"/>
        <v>0.94974208173506014</v>
      </c>
      <c r="J32" s="41">
        <f t="shared" si="2"/>
        <v>9178.0825147045398</v>
      </c>
      <c r="K32" s="41">
        <f t="shared" si="3"/>
        <v>116.18335996636925</v>
      </c>
      <c r="L32" s="41">
        <f t="shared" si="4"/>
        <v>9294.2658746709094</v>
      </c>
    </row>
    <row r="33" spans="3:12" x14ac:dyDescent="0.2">
      <c r="C33" s="31">
        <v>21</v>
      </c>
      <c r="D33" s="31">
        <f t="shared" si="0"/>
        <v>81</v>
      </c>
      <c r="E33" s="39">
        <f t="shared" si="5"/>
        <v>0.99009900990099009</v>
      </c>
      <c r="F33" s="31">
        <f t="shared" si="1"/>
        <v>0.80339620658493804</v>
      </c>
      <c r="G33" s="44">
        <f>IFERROR( IF($C$4="Hombre", VLOOKUP(D33, 'Hip Actuarial'!$B$8:$I$118, 7, 0), VLOOKUP(D33, 'Hip Actuarial'!$B$8:$I$118, 8, 0) ), 1 )</f>
        <v>8.8060810971256741E-3</v>
      </c>
      <c r="H33" s="45">
        <f t="shared" si="6"/>
        <v>0.99119391890287434</v>
      </c>
      <c r="I33" s="31">
        <f t="shared" si="7"/>
        <v>0.94258290991380822</v>
      </c>
      <c r="J33" s="41">
        <f t="shared" si="2"/>
        <v>9007.1876987761752</v>
      </c>
      <c r="K33" s="41">
        <f t="shared" si="3"/>
        <v>133.37118637062588</v>
      </c>
      <c r="L33" s="41">
        <f t="shared" si="4"/>
        <v>9140.5588851468019</v>
      </c>
    </row>
    <row r="34" spans="3:12" x14ac:dyDescent="0.2">
      <c r="C34" s="31">
        <v>22</v>
      </c>
      <c r="D34" s="31">
        <f t="shared" si="0"/>
        <v>82</v>
      </c>
      <c r="E34" s="39">
        <f t="shared" si="5"/>
        <v>0.99009900990099009</v>
      </c>
      <c r="F34" s="31">
        <f t="shared" si="1"/>
        <v>0.79544178869795856</v>
      </c>
      <c r="G34" s="44">
        <f>IFERROR( IF($C$4="Hombre", VLOOKUP(D34, 'Hip Actuarial'!$B$8:$I$118, 7, 0), VLOOKUP(D34, 'Hip Actuarial'!$B$8:$I$118, 8, 0) ), 1 )</f>
        <v>1.0349280356357645E-2</v>
      </c>
      <c r="H34" s="45">
        <f t="shared" si="6"/>
        <v>0.98965071964364237</v>
      </c>
      <c r="I34" s="31">
        <f t="shared" si="7"/>
        <v>0.93428244836834251</v>
      </c>
      <c r="J34" s="41">
        <f t="shared" si="2"/>
        <v>8825.7126614447589</v>
      </c>
      <c r="K34" s="41">
        <f t="shared" si="3"/>
        <v>153.82493517651901</v>
      </c>
      <c r="L34" s="41">
        <f t="shared" si="4"/>
        <v>8979.5375966212778</v>
      </c>
    </row>
    <row r="35" spans="3:12" x14ac:dyDescent="0.2">
      <c r="C35" s="31">
        <v>23</v>
      </c>
      <c r="D35" s="31">
        <f t="shared" si="0"/>
        <v>83</v>
      </c>
      <c r="E35" s="39">
        <f t="shared" si="5"/>
        <v>0.99009900990099009</v>
      </c>
      <c r="F35" s="31">
        <f t="shared" si="1"/>
        <v>0.78756612742372123</v>
      </c>
      <c r="G35" s="44">
        <f>IFERROR( IF($C$4="Hombre", VLOOKUP(D35, 'Hip Actuarial'!$B$8:$I$118, 7, 0), VLOOKUP(D35, 'Hip Actuarial'!$B$8:$I$118, 8, 0) ), 1 )</f>
        <v>1.2230454849630189E-2</v>
      </c>
      <c r="H35" s="45">
        <f t="shared" si="6"/>
        <v>0.98776954515036985</v>
      </c>
      <c r="I35" s="31">
        <f t="shared" si="7"/>
        <v>0.92461329737815434</v>
      </c>
      <c r="J35" s="41">
        <f t="shared" si="2"/>
        <v>8631.4556249734142</v>
      </c>
      <c r="K35" s="41">
        <f t="shared" si="3"/>
        <v>178.12290465612145</v>
      </c>
      <c r="L35" s="41">
        <f t="shared" si="4"/>
        <v>8809.5785296295362</v>
      </c>
    </row>
    <row r="36" spans="3:12" x14ac:dyDescent="0.2">
      <c r="C36" s="31">
        <v>24</v>
      </c>
      <c r="D36" s="31">
        <f t="shared" si="0"/>
        <v>84</v>
      </c>
      <c r="E36" s="39">
        <f t="shared" si="5"/>
        <v>0.99009900990099009</v>
      </c>
      <c r="F36" s="31">
        <f t="shared" si="1"/>
        <v>0.77976844299378323</v>
      </c>
      <c r="G36" s="44">
        <f>IFERROR( IF($C$4="Hombre", VLOOKUP(D36, 'Hip Actuarial'!$B$8:$I$118, 7, 0), VLOOKUP(D36, 'Hip Actuarial'!$B$8:$I$118, 8, 0) ), 1 )</f>
        <v>1.4540903218502802E-2</v>
      </c>
      <c r="H36" s="45">
        <f t="shared" si="6"/>
        <v>0.98545909678149723</v>
      </c>
      <c r="I36" s="31">
        <f t="shared" si="7"/>
        <v>0.91330485619120316</v>
      </c>
      <c r="J36" s="41">
        <f t="shared" si="2"/>
        <v>8421.7291723721501</v>
      </c>
      <c r="K36" s="41">
        <f t="shared" si="3"/>
        <v>207.11082653059404</v>
      </c>
      <c r="L36" s="41">
        <f t="shared" si="4"/>
        <v>8628.8399989027439</v>
      </c>
    </row>
    <row r="37" spans="3:12" x14ac:dyDescent="0.2">
      <c r="C37" s="31">
        <v>25</v>
      </c>
      <c r="D37" s="31">
        <f t="shared" si="0"/>
        <v>85</v>
      </c>
      <c r="E37" s="39">
        <f t="shared" si="5"/>
        <v>0.99009900990099009</v>
      </c>
      <c r="F37" s="31">
        <f t="shared" si="1"/>
        <v>0.77204796336018144</v>
      </c>
      <c r="G37" s="44">
        <f>IFERROR( IF($C$4="Hombre", VLOOKUP(D37, 'Hip Actuarial'!$B$8:$I$118, 7, 0), VLOOKUP(D37, 'Hip Actuarial'!$B$8:$I$118, 8, 0) ), 1 )</f>
        <v>1.73843674523501E-2</v>
      </c>
      <c r="H37" s="45">
        <f t="shared" si="6"/>
        <v>0.98261563254764994</v>
      </c>
      <c r="I37" s="31">
        <f t="shared" si="7"/>
        <v>0.90002457866833829</v>
      </c>
      <c r="J37" s="41">
        <f t="shared" si="2"/>
        <v>8193.3888493618397</v>
      </c>
      <c r="K37" s="41">
        <f t="shared" si="3"/>
        <v>241.59477643018772</v>
      </c>
      <c r="L37" s="41">
        <f t="shared" si="4"/>
        <v>8434.9836257920269</v>
      </c>
    </row>
    <row r="38" spans="3:12" x14ac:dyDescent="0.2">
      <c r="C38" s="31">
        <v>26</v>
      </c>
      <c r="D38" s="31">
        <f t="shared" si="0"/>
        <v>86</v>
      </c>
      <c r="E38" s="39">
        <f t="shared" si="5"/>
        <v>0.99009900990099009</v>
      </c>
      <c r="F38" s="31">
        <f t="shared" si="1"/>
        <v>0.76440392411899183</v>
      </c>
      <c r="G38" s="44">
        <f>IFERROR( IF($C$4="Hombre", VLOOKUP(D38, 'Hip Actuarial'!$B$8:$I$118, 7, 0), VLOOKUP(D38, 'Hip Actuarial'!$B$8:$I$118, 8, 0) ), 1 )</f>
        <v>2.0904593397923554E-2</v>
      </c>
      <c r="H38" s="45">
        <f t="shared" si="6"/>
        <v>0.9790954066020765</v>
      </c>
      <c r="I38" s="31">
        <f t="shared" si="7"/>
        <v>0.88437822067662131</v>
      </c>
      <c r="J38" s="41">
        <f t="shared" si="2"/>
        <v>7942.6825613018345</v>
      </c>
      <c r="K38" s="41">
        <f t="shared" si="3"/>
        <v>282.63937697523107</v>
      </c>
      <c r="L38" s="41">
        <f t="shared" si="4"/>
        <v>8225.3219382770658</v>
      </c>
    </row>
    <row r="39" spans="3:12" x14ac:dyDescent="0.2">
      <c r="C39" s="31">
        <v>27</v>
      </c>
      <c r="D39" s="31">
        <f t="shared" si="0"/>
        <v>87</v>
      </c>
      <c r="E39" s="39">
        <f t="shared" si="5"/>
        <v>0.99009900990099009</v>
      </c>
      <c r="F39" s="31">
        <f t="shared" si="1"/>
        <v>0.75683556843464528</v>
      </c>
      <c r="G39" s="44">
        <f>IFERROR( IF($C$4="Hombre", VLOOKUP(D39, 'Hip Actuarial'!$B$8:$I$118, 7, 0), VLOOKUP(D39, 'Hip Actuarial'!$B$8:$I$118, 8, 0) ), 1 )</f>
        <v>2.5285121018058847E-2</v>
      </c>
      <c r="H39" s="45">
        <f t="shared" si="6"/>
        <v>0.9747148789819412</v>
      </c>
      <c r="I39" s="31">
        <f t="shared" si="7"/>
        <v>0.86589065356339745</v>
      </c>
      <c r="J39" s="41">
        <f t="shared" si="2"/>
        <v>7665.1988827042487</v>
      </c>
      <c r="K39" s="41">
        <f t="shared" si="3"/>
        <v>331.40542866426148</v>
      </c>
      <c r="L39" s="41">
        <f t="shared" si="4"/>
        <v>7996.60431136851</v>
      </c>
    </row>
    <row r="40" spans="3:12" x14ac:dyDescent="0.2">
      <c r="C40" s="31">
        <v>28</v>
      </c>
      <c r="D40" s="31">
        <f t="shared" si="0"/>
        <v>88</v>
      </c>
      <c r="E40" s="39">
        <f t="shared" si="5"/>
        <v>0.99009900990099009</v>
      </c>
      <c r="F40" s="31">
        <f t="shared" si="1"/>
        <v>0.74934214696499535</v>
      </c>
      <c r="G40" s="44">
        <f>IFERROR( IF($C$4="Hombre", VLOOKUP(D40, 'Hip Actuarial'!$B$8:$I$118, 7, 0), VLOOKUP(D40, 'Hip Actuarial'!$B$8:$I$118, 8, 0) ), 1 )</f>
        <v>3.074788443492283E-2</v>
      </c>
      <c r="H40" s="45">
        <f t="shared" si="6"/>
        <v>0.96925211556507718</v>
      </c>
      <c r="I40" s="31">
        <f t="shared" si="7"/>
        <v>0.84399650359964096</v>
      </c>
      <c r="J40" s="41">
        <f t="shared" si="2"/>
        <v>7355.9507260278806</v>
      </c>
      <c r="K40" s="41">
        <f t="shared" si="3"/>
        <v>388.92516405295356</v>
      </c>
      <c r="L40" s="41">
        <f t="shared" si="4"/>
        <v>7744.8758900808343</v>
      </c>
    </row>
    <row r="41" spans="3:12" x14ac:dyDescent="0.2">
      <c r="C41" s="31">
        <v>29</v>
      </c>
      <c r="D41" s="31">
        <f t="shared" si="0"/>
        <v>89</v>
      </c>
      <c r="E41" s="39">
        <f t="shared" si="5"/>
        <v>0.99009900990099009</v>
      </c>
      <c r="F41" s="31">
        <f t="shared" si="1"/>
        <v>0.74192291778712394</v>
      </c>
      <c r="G41" s="44">
        <f>IFERROR( IF($C$4="Hombre", VLOOKUP(D41, 'Hip Actuarial'!$B$8:$I$118, 7, 0), VLOOKUP(D41, 'Hip Actuarial'!$B$8:$I$118, 8, 0) ), 1 )</f>
        <v>3.7578215249075675E-2</v>
      </c>
      <c r="H41" s="45">
        <f t="shared" si="6"/>
        <v>0.96242178475092433</v>
      </c>
      <c r="I41" s="31">
        <f t="shared" si="7"/>
        <v>0.8180453966434803</v>
      </c>
      <c r="J41" s="41">
        <f t="shared" si="2"/>
        <v>7009.4328973105039</v>
      </c>
      <c r="K41" s="41">
        <f t="shared" si="3"/>
        <v>456.1443890169474</v>
      </c>
      <c r="L41" s="41">
        <f t="shared" si="4"/>
        <v>7465.5772863274515</v>
      </c>
    </row>
    <row r="42" spans="3:12" x14ac:dyDescent="0.2">
      <c r="C42" s="31">
        <v>30</v>
      </c>
      <c r="D42" s="31">
        <f t="shared" si="0"/>
        <v>90</v>
      </c>
      <c r="E42" s="39">
        <f t="shared" si="5"/>
        <v>0.99009900990099009</v>
      </c>
      <c r="F42" s="31">
        <f t="shared" si="1"/>
        <v>0.73457714632388538</v>
      </c>
      <c r="G42" s="44">
        <f>IFERROR( IF($C$4="Hombre", VLOOKUP(D42, 'Hip Actuarial'!$B$8:$I$118, 7, 0), VLOOKUP(D42, 'Hip Actuarial'!$B$8:$I$118, 8, 0) ), 1 )</f>
        <v>5.1113790472466621E-2</v>
      </c>
      <c r="H42" s="45">
        <f t="shared" si="6"/>
        <v>0.94888620952753333</v>
      </c>
      <c r="I42" s="31">
        <f t="shared" si="7"/>
        <v>0.78730471064489616</v>
      </c>
      <c r="J42" s="41">
        <f t="shared" si="2"/>
        <v>6585.3012008579835</v>
      </c>
      <c r="K42" s="41">
        <f t="shared" si="3"/>
        <v>591.21895122763021</v>
      </c>
      <c r="L42" s="41">
        <f t="shared" si="4"/>
        <v>7176.5201520856135</v>
      </c>
    </row>
    <row r="43" spans="3:12" x14ac:dyDescent="0.2">
      <c r="C43" s="31">
        <v>31</v>
      </c>
      <c r="D43" s="31">
        <f t="shared" si="0"/>
        <v>91</v>
      </c>
      <c r="E43" s="39">
        <f t="shared" si="5"/>
        <v>0.99009900990099009</v>
      </c>
      <c r="F43" s="31">
        <f t="shared" si="1"/>
        <v>0.7273041052711734</v>
      </c>
      <c r="G43" s="44">
        <f>IFERROR( IF($C$4="Hombre", VLOOKUP(D43, 'Hip Actuarial'!$B$8:$I$118, 7, 0), VLOOKUP(D43, 'Hip Actuarial'!$B$8:$I$118, 8, 0) ), 1 )</f>
        <v>6.492891434962314E-2</v>
      </c>
      <c r="H43" s="45">
        <f t="shared" si="6"/>
        <v>0.93507108565037689</v>
      </c>
      <c r="I43" s="31">
        <f t="shared" si="7"/>
        <v>0.74706258262700698</v>
      </c>
      <c r="J43" s="41">
        <f t="shared" si="2"/>
        <v>6096.7571715059439</v>
      </c>
      <c r="K43" s="41">
        <f t="shared" si="3"/>
        <v>705.57171227224137</v>
      </c>
      <c r="L43" s="41">
        <f t="shared" si="4"/>
        <v>6802.3288837781856</v>
      </c>
    </row>
    <row r="44" spans="3:12" x14ac:dyDescent="0.2">
      <c r="C44" s="31">
        <v>32</v>
      </c>
      <c r="D44" s="31">
        <f t="shared" si="0"/>
        <v>92</v>
      </c>
      <c r="E44" s="39">
        <f t="shared" si="5"/>
        <v>0.99009900990099009</v>
      </c>
      <c r="F44" s="31">
        <f t="shared" si="1"/>
        <v>0.72010307452591427</v>
      </c>
      <c r="G44" s="44">
        <f>IFERROR( IF($C$4="Hombre", VLOOKUP(D44, 'Hip Actuarial'!$B$8:$I$118, 7, 0), VLOOKUP(D44, 'Hip Actuarial'!$B$8:$I$118, 8, 0) ), 1 )</f>
        <v>7.4776203761599838E-2</v>
      </c>
      <c r="H44" s="45">
        <f t="shared" si="6"/>
        <v>0.92522379623840012</v>
      </c>
      <c r="I44" s="31">
        <f t="shared" si="7"/>
        <v>0.69855662018580977</v>
      </c>
      <c r="J44" s="41">
        <f t="shared" si="2"/>
        <v>5585.0146682816039</v>
      </c>
      <c r="K44" s="41">
        <f t="shared" si="3"/>
        <v>752.29761805531939</v>
      </c>
      <c r="L44" s="41">
        <f t="shared" si="4"/>
        <v>6337.3122863369235</v>
      </c>
    </row>
    <row r="45" spans="3:12" x14ac:dyDescent="0.2">
      <c r="C45" s="31">
        <v>33</v>
      </c>
      <c r="D45" s="31">
        <f t="shared" si="0"/>
        <v>93</v>
      </c>
      <c r="E45" s="39">
        <f t="shared" si="5"/>
        <v>0.99009900990099009</v>
      </c>
      <c r="F45" s="31">
        <f t="shared" si="1"/>
        <v>0.71297334111476662</v>
      </c>
      <c r="G45" s="44">
        <f>IFERROR( IF($C$4="Hombre", VLOOKUP(D45, 'Hip Actuarial'!$B$8:$I$118, 7, 0), VLOOKUP(D45, 'Hip Actuarial'!$B$8:$I$118, 8, 0) ), 1 )</f>
        <v>8.5796269669535283E-2</v>
      </c>
      <c r="H45" s="45">
        <f t="shared" si="6"/>
        <v>0.91420373033046476</v>
      </c>
      <c r="I45" s="31">
        <f t="shared" si="7"/>
        <v>0.64632120801578108</v>
      </c>
      <c r="J45" s="41">
        <f t="shared" si="2"/>
        <v>5055.2883600924797</v>
      </c>
      <c r="K45" s="41">
        <f t="shared" si="3"/>
        <v>790.71522209273689</v>
      </c>
      <c r="L45" s="41">
        <f t="shared" si="4"/>
        <v>5846.0035821852161</v>
      </c>
    </row>
    <row r="46" spans="3:12" x14ac:dyDescent="0.2">
      <c r="C46" s="31">
        <v>34</v>
      </c>
      <c r="D46" s="31">
        <f t="shared" si="0"/>
        <v>94</v>
      </c>
      <c r="E46" s="39">
        <f t="shared" si="5"/>
        <v>0.99009900990099009</v>
      </c>
      <c r="F46" s="31">
        <f t="shared" si="1"/>
        <v>0.70591419912353137</v>
      </c>
      <c r="G46" s="44">
        <f>IFERROR( IF($C$4="Hombre", VLOOKUP(D46, 'Hip Actuarial'!$B$8:$I$118, 7, 0), VLOOKUP(D46, 'Hip Actuarial'!$B$8:$I$118, 8, 0) ), 1 )</f>
        <v>9.8539425820379833E-2</v>
      </c>
      <c r="H46" s="45">
        <f t="shared" si="6"/>
        <v>0.90146057417962022</v>
      </c>
      <c r="I46" s="31">
        <f t="shared" si="7"/>
        <v>0.59086925935971935</v>
      </c>
      <c r="J46" s="41">
        <f t="shared" si="2"/>
        <v>4512.022918547048</v>
      </c>
      <c r="K46" s="41">
        <f t="shared" si="3"/>
        <v>822.0218025741957</v>
      </c>
      <c r="L46" s="41">
        <f t="shared" si="4"/>
        <v>5334.044721121244</v>
      </c>
    </row>
    <row r="47" spans="3:12" x14ac:dyDescent="0.2">
      <c r="C47" s="31">
        <v>35</v>
      </c>
      <c r="D47" s="31">
        <f t="shared" si="0"/>
        <v>95</v>
      </c>
      <c r="E47" s="39">
        <f t="shared" si="5"/>
        <v>0.99009900990099009</v>
      </c>
      <c r="F47" s="31">
        <f t="shared" si="1"/>
        <v>0.69892494962725871</v>
      </c>
      <c r="G47" s="44">
        <f>IFERROR( IF($C$4="Hombre", VLOOKUP(D47, 'Hip Actuarial'!$B$8:$I$118, 7, 0), VLOOKUP(D47, 'Hip Actuarial'!$B$8:$I$118, 8, 0) ), 1 )</f>
        <v>0.11327979685097805</v>
      </c>
      <c r="H47" s="45">
        <f t="shared" si="6"/>
        <v>0.886720203149022</v>
      </c>
      <c r="I47" s="31">
        <f t="shared" si="7"/>
        <v>0.53264534180749956</v>
      </c>
      <c r="J47" s="41">
        <f t="shared" si="2"/>
        <v>3961.2889890565161</v>
      </c>
      <c r="K47" s="41">
        <f t="shared" si="3"/>
        <v>843.43405874581958</v>
      </c>
      <c r="L47" s="41">
        <f t="shared" si="4"/>
        <v>4804.7230478023357</v>
      </c>
    </row>
    <row r="48" spans="3:12" x14ac:dyDescent="0.2">
      <c r="C48" s="31">
        <v>36</v>
      </c>
      <c r="D48" s="31">
        <f t="shared" si="0"/>
        <v>96</v>
      </c>
      <c r="E48" s="39">
        <f t="shared" si="5"/>
        <v>0.99009900990099009</v>
      </c>
      <c r="F48" s="31">
        <f t="shared" si="1"/>
        <v>0.69200490062104825</v>
      </c>
      <c r="G48" s="44">
        <f>IFERROR( IF($C$4="Hombre", VLOOKUP(D48, 'Hip Actuarial'!$B$8:$I$118, 7, 0), VLOOKUP(D48, 'Hip Actuarial'!$B$8:$I$118, 8, 0) ), 1 )</f>
        <v>0.13034897488769984</v>
      </c>
      <c r="H48" s="45">
        <f t="shared" si="6"/>
        <v>0.86965102511230019</v>
      </c>
      <c r="I48" s="31">
        <f t="shared" si="7"/>
        <v>0.47230738569392627</v>
      </c>
      <c r="J48" s="41">
        <f t="shared" si="2"/>
        <v>3410.8307228703629</v>
      </c>
      <c r="K48" s="41">
        <f t="shared" si="3"/>
        <v>852.06263854364636</v>
      </c>
      <c r="L48" s="41">
        <f t="shared" si="4"/>
        <v>4262.8933614140096</v>
      </c>
    </row>
    <row r="49" spans="3:12" x14ac:dyDescent="0.2">
      <c r="C49" s="31">
        <v>37</v>
      </c>
      <c r="D49" s="31">
        <f t="shared" si="0"/>
        <v>97</v>
      </c>
      <c r="E49" s="39">
        <f t="shared" si="5"/>
        <v>0.99009900990099009</v>
      </c>
      <c r="F49" s="31">
        <f t="shared" si="1"/>
        <v>0.68515336695153284</v>
      </c>
      <c r="G49" s="44">
        <f>IFERROR( IF($C$4="Hombre", VLOOKUP(D49, 'Hip Actuarial'!$B$8:$I$118, 7, 0), VLOOKUP(D49, 'Hip Actuarial'!$B$8:$I$118, 8, 0) ), 1 )</f>
        <v>0.15014066604313042</v>
      </c>
      <c r="H49" s="45">
        <f t="shared" si="6"/>
        <v>0.84985933395686963</v>
      </c>
      <c r="I49" s="31">
        <f t="shared" si="7"/>
        <v>0.41074260213683356</v>
      </c>
      <c r="J49" s="41">
        <f t="shared" si="2"/>
        <v>2870.0260657210247</v>
      </c>
      <c r="K49" s="41">
        <f t="shared" si="3"/>
        <v>845.05675988800056</v>
      </c>
      <c r="L49" s="41">
        <f t="shared" si="4"/>
        <v>3715.0828256090253</v>
      </c>
    </row>
    <row r="50" spans="3:12" x14ac:dyDescent="0.2">
      <c r="C50" s="31">
        <v>38</v>
      </c>
      <c r="D50" s="31">
        <f t="shared" si="0"/>
        <v>98</v>
      </c>
      <c r="E50" s="39">
        <f t="shared" si="5"/>
        <v>0.99009900990099009</v>
      </c>
      <c r="F50" s="31">
        <f t="shared" si="1"/>
        <v>0.6783696702490426</v>
      </c>
      <c r="G50" s="44">
        <f>IFERROR( IF($C$4="Hombre", VLOOKUP(D50, 'Hip Actuarial'!$B$8:$I$118, 7, 0), VLOOKUP(D50, 'Hip Actuarial'!$B$8:$I$118, 8, 0) ), 1 )</f>
        <v>0.17308184734449111</v>
      </c>
      <c r="H50" s="45">
        <f t="shared" si="6"/>
        <v>0.82691815265550894</v>
      </c>
      <c r="I50" s="31">
        <f t="shared" si="7"/>
        <v>0.34907343427972087</v>
      </c>
      <c r="J50" s="41">
        <f t="shared" si="2"/>
        <v>2349.7788637021667</v>
      </c>
      <c r="K50" s="41">
        <f t="shared" si="3"/>
        <v>819.71850393042394</v>
      </c>
      <c r="L50" s="41">
        <f t="shared" si="4"/>
        <v>3169.4973676325908</v>
      </c>
    </row>
    <row r="51" spans="3:12" x14ac:dyDescent="0.2">
      <c r="C51" s="31">
        <v>39</v>
      </c>
      <c r="D51" s="31">
        <f t="shared" si="0"/>
        <v>99</v>
      </c>
      <c r="E51" s="39">
        <f t="shared" si="5"/>
        <v>0.99009900990099009</v>
      </c>
      <c r="F51" s="31">
        <f t="shared" si="1"/>
        <v>0.67165313886043809</v>
      </c>
      <c r="G51" s="44">
        <f>IFERROR( IF($C$4="Hombre", VLOOKUP(D51, 'Hip Actuarial'!$B$8:$I$118, 7, 0), VLOOKUP(D51, 'Hip Actuarial'!$B$8:$I$118, 8, 0) ), 1 )</f>
        <v>0.1997119764095561</v>
      </c>
      <c r="H51" s="45">
        <f t="shared" si="6"/>
        <v>0.80028802359044393</v>
      </c>
      <c r="I51" s="31">
        <f t="shared" si="7"/>
        <v>0.28865515941570097</v>
      </c>
      <c r="J51" s="41">
        <f t="shared" si="2"/>
        <v>1861.8810719869361</v>
      </c>
      <c r="K51" s="41">
        <f t="shared" si="3"/>
        <v>774.38775741808684</v>
      </c>
      <c r="L51" s="41">
        <f t="shared" si="4"/>
        <v>2636.2688294050231</v>
      </c>
    </row>
    <row r="52" spans="3:12" x14ac:dyDescent="0.2">
      <c r="C52" s="31">
        <v>40</v>
      </c>
      <c r="D52" s="31">
        <f t="shared" si="0"/>
        <v>100</v>
      </c>
      <c r="E52" s="39">
        <f t="shared" si="5"/>
        <v>0.99009900990099009</v>
      </c>
      <c r="F52" s="31">
        <f t="shared" si="1"/>
        <v>0.66500310778261185</v>
      </c>
      <c r="G52" s="44">
        <f>IFERROR( IF($C$4="Hombre", VLOOKUP(D52, 'Hip Actuarial'!$B$8:$I$118, 7, 0), VLOOKUP(D52, 'Hip Actuarial'!$B$8:$I$118, 8, 0) ), 1 )</f>
        <v>0.26813999999999999</v>
      </c>
      <c r="H52" s="45">
        <f t="shared" si="6"/>
        <v>0.73185999999999996</v>
      </c>
      <c r="I52" s="31">
        <f t="shared" si="7"/>
        <v>0.23100726702797586</v>
      </c>
      <c r="J52" s="41">
        <f t="shared" si="2"/>
        <v>1349.1448330142168</v>
      </c>
      <c r="K52" s="41">
        <f t="shared" si="3"/>
        <v>823.83628818907107</v>
      </c>
      <c r="L52" s="41">
        <f t="shared" si="4"/>
        <v>2172.9811212032878</v>
      </c>
    </row>
    <row r="53" spans="3:12" x14ac:dyDescent="0.2">
      <c r="C53" s="31">
        <v>41</v>
      </c>
      <c r="D53" s="31">
        <f t="shared" si="0"/>
        <v>101</v>
      </c>
      <c r="E53" s="39">
        <f t="shared" si="5"/>
        <v>0.99009900990099009</v>
      </c>
      <c r="F53" s="31">
        <f t="shared" si="1"/>
        <v>0.65841891859664536</v>
      </c>
      <c r="G53" s="44">
        <f>IFERROR( IF($C$4="Hombre", VLOOKUP(D53, 'Hip Actuarial'!$B$8:$I$118, 7, 0), VLOOKUP(D53, 'Hip Actuarial'!$B$8:$I$118, 8, 0) ), 1 )</f>
        <v>0.30586000000000002</v>
      </c>
      <c r="H53" s="45">
        <f t="shared" si="6"/>
        <v>0.69413999999999998</v>
      </c>
      <c r="I53" s="31">
        <f t="shared" si="7"/>
        <v>0.16906497844709439</v>
      </c>
      <c r="J53" s="41">
        <f t="shared" si="2"/>
        <v>927.22316276087952</v>
      </c>
      <c r="K53" s="41">
        <f t="shared" si="3"/>
        <v>680.93966769922179</v>
      </c>
      <c r="L53" s="41">
        <f t="shared" si="4"/>
        <v>1608.1628304601013</v>
      </c>
    </row>
    <row r="54" spans="3:12" x14ac:dyDescent="0.2">
      <c r="C54" s="31">
        <v>42</v>
      </c>
      <c r="D54" s="31">
        <f t="shared" si="0"/>
        <v>102</v>
      </c>
      <c r="E54" s="39">
        <f t="shared" si="5"/>
        <v>0.99009900990099009</v>
      </c>
      <c r="F54" s="31">
        <f t="shared" si="1"/>
        <v>0.65189991940261938</v>
      </c>
      <c r="G54" s="44">
        <f>IFERROR( IF($C$4="Hombre", VLOOKUP(D54, 'Hip Actuarial'!$B$8:$I$118, 7, 0), VLOOKUP(D54, 'Hip Actuarial'!$B$8:$I$118, 8, 0) ), 1 )</f>
        <v>0.34888999999999998</v>
      </c>
      <c r="H54" s="45">
        <f t="shared" si="6"/>
        <v>0.65111000000000008</v>
      </c>
      <c r="I54" s="31">
        <f t="shared" si="7"/>
        <v>0.1173547641392661</v>
      </c>
      <c r="J54" s="41">
        <f t="shared" si="2"/>
        <v>597.74680545072931</v>
      </c>
      <c r="K54" s="41">
        <f t="shared" si="3"/>
        <v>533.8265499268042</v>
      </c>
      <c r="L54" s="41">
        <f t="shared" si="4"/>
        <v>1131.5733553775335</v>
      </c>
    </row>
    <row r="55" spans="3:12" x14ac:dyDescent="0.2">
      <c r="C55" s="31">
        <v>43</v>
      </c>
      <c r="D55" s="31">
        <f t="shared" si="0"/>
        <v>103</v>
      </c>
      <c r="E55" s="39">
        <f t="shared" si="5"/>
        <v>0.99009900990099009</v>
      </c>
      <c r="F55" s="31">
        <f t="shared" si="1"/>
        <v>0.64544546475506859</v>
      </c>
      <c r="G55" s="44">
        <f>IFERROR( IF($C$4="Hombre", VLOOKUP(D55, 'Hip Actuarial'!$B$8:$I$118, 7, 0), VLOOKUP(D55, 'Hip Actuarial'!$B$8:$I$118, 8, 0) ), 1 )</f>
        <v>0.39798</v>
      </c>
      <c r="H55" s="45">
        <f t="shared" si="6"/>
        <v>0.60202</v>
      </c>
      <c r="I55" s="31">
        <f t="shared" si="7"/>
        <v>7.6410860478717563E-2</v>
      </c>
      <c r="J55" s="41">
        <f t="shared" si="2"/>
        <v>356.29260575984949</v>
      </c>
      <c r="K55" s="41">
        <f t="shared" si="3"/>
        <v>392.55985748066212</v>
      </c>
      <c r="L55" s="41">
        <f t="shared" si="4"/>
        <v>748.85246324051161</v>
      </c>
    </row>
    <row r="56" spans="3:12" x14ac:dyDescent="0.2">
      <c r="C56" s="31">
        <v>44</v>
      </c>
      <c r="D56" s="31">
        <f t="shared" si="0"/>
        <v>104</v>
      </c>
      <c r="E56" s="39">
        <f t="shared" si="5"/>
        <v>0.99009900990099009</v>
      </c>
      <c r="F56" s="31">
        <f t="shared" si="1"/>
        <v>0.63905491559907779</v>
      </c>
      <c r="G56" s="44">
        <f>IFERROR( IF($C$4="Hombre", VLOOKUP(D56, 'Hip Actuarial'!$B$8:$I$118, 7, 0), VLOOKUP(D56, 'Hip Actuarial'!$B$8:$I$118, 8, 0) ), 1 )</f>
        <v>0.45395999999999997</v>
      </c>
      <c r="H56" s="45">
        <f t="shared" si="6"/>
        <v>0.54604000000000008</v>
      </c>
      <c r="I56" s="31">
        <f t="shared" si="7"/>
        <v>4.6000866225397549E-2</v>
      </c>
      <c r="J56" s="41">
        <f t="shared" si="2"/>
        <v>192.62377668228544</v>
      </c>
      <c r="K56" s="41">
        <f t="shared" si="3"/>
        <v>266.90196585930903</v>
      </c>
      <c r="L56" s="41">
        <f t="shared" si="4"/>
        <v>459.52574254159447</v>
      </c>
    </row>
    <row r="57" spans="3:12" x14ac:dyDescent="0.2">
      <c r="C57" s="31">
        <v>45</v>
      </c>
      <c r="D57" s="31">
        <f t="shared" si="0"/>
        <v>105</v>
      </c>
      <c r="E57" s="39">
        <f t="shared" si="5"/>
        <v>0.99009900990099009</v>
      </c>
      <c r="F57" s="31">
        <f t="shared" si="1"/>
        <v>0.63272763920700759</v>
      </c>
      <c r="G57" s="44">
        <f>IFERROR( IF($C$4="Hombre", VLOOKUP(D57, 'Hip Actuarial'!$B$8:$I$118, 7, 0), VLOOKUP(D57, 'Hip Actuarial'!$B$8:$I$118, 8, 0) ), 1 )</f>
        <v>0.51781999999999995</v>
      </c>
      <c r="H57" s="45">
        <f t="shared" si="6"/>
        <v>0.48218000000000005</v>
      </c>
      <c r="I57" s="31">
        <f t="shared" si="7"/>
        <v>2.5118312993716082E-2</v>
      </c>
      <c r="J57" s="41">
        <f t="shared" si="2"/>
        <v>91.959735287786501</v>
      </c>
      <c r="K57" s="41">
        <f t="shared" si="3"/>
        <v>164.59479214788945</v>
      </c>
      <c r="L57" s="41">
        <f t="shared" si="4"/>
        <v>256.55452743567594</v>
      </c>
    </row>
    <row r="58" spans="3:12" x14ac:dyDescent="0.2">
      <c r="C58" s="31">
        <v>46</v>
      </c>
      <c r="D58" s="31">
        <f t="shared" si="0"/>
        <v>106</v>
      </c>
      <c r="E58" s="39">
        <f t="shared" si="5"/>
        <v>0.99009900990099009</v>
      </c>
      <c r="F58" s="31">
        <f t="shared" si="1"/>
        <v>0.6264630091158494</v>
      </c>
      <c r="G58" s="44">
        <f>IFERROR( IF($C$4="Hombre", VLOOKUP(D58, 'Hip Actuarial'!$B$8:$I$118, 7, 0), VLOOKUP(D58, 'Hip Actuarial'!$B$8:$I$118, 8, 0) ), 1 )</f>
        <v>0.59067000000000003</v>
      </c>
      <c r="H58" s="45">
        <f t="shared" si="6"/>
        <v>0.40932999999999997</v>
      </c>
      <c r="I58" s="31">
        <f t="shared" si="7"/>
        <v>1.2111548159310022E-2</v>
      </c>
      <c r="J58" s="41">
        <f t="shared" si="2"/>
        <v>37.269186579554123</v>
      </c>
      <c r="K58" s="41">
        <f t="shared" si="3"/>
        <v>89.633427132734141</v>
      </c>
      <c r="L58" s="41">
        <f t="shared" si="4"/>
        <v>126.90261371228826</v>
      </c>
    </row>
    <row r="59" spans="3:12" x14ac:dyDescent="0.2">
      <c r="C59" s="31">
        <v>47</v>
      </c>
      <c r="D59" s="31">
        <f t="shared" si="0"/>
        <v>107</v>
      </c>
      <c r="E59" s="39">
        <f t="shared" si="5"/>
        <v>0.99009900990099009</v>
      </c>
      <c r="F59" s="31">
        <f t="shared" si="1"/>
        <v>0.6202604050651972</v>
      </c>
      <c r="G59" s="44">
        <f>IFERROR( IF($C$4="Hombre", VLOOKUP(D59, 'Hip Actuarial'!$B$8:$I$118, 7, 0), VLOOKUP(D59, 'Hip Actuarial'!$B$8:$I$118, 8, 0) ), 1 )</f>
        <v>0.67376999999999998</v>
      </c>
      <c r="H59" s="45">
        <f t="shared" si="6"/>
        <v>0.32623000000000002</v>
      </c>
      <c r="I59" s="31">
        <f t="shared" si="7"/>
        <v>4.9576200080503705E-3</v>
      </c>
      <c r="J59" s="41">
        <f t="shared" si="2"/>
        <v>12.037947265195978</v>
      </c>
      <c r="K59" s="41">
        <f t="shared" si="3"/>
        <v>41.437062445059681</v>
      </c>
      <c r="L59" s="41">
        <f t="shared" si="4"/>
        <v>53.475009710255662</v>
      </c>
    </row>
    <row r="60" spans="3:12" x14ac:dyDescent="0.2">
      <c r="C60" s="31">
        <v>48</v>
      </c>
      <c r="D60" s="31">
        <f t="shared" si="0"/>
        <v>108</v>
      </c>
      <c r="E60" s="39">
        <f t="shared" si="5"/>
        <v>0.99009900990099009</v>
      </c>
      <c r="F60" s="31">
        <f t="shared" si="1"/>
        <v>0.61411921293583871</v>
      </c>
      <c r="G60" s="44">
        <f>IFERROR( IF($C$4="Hombre", VLOOKUP(D60, 'Hip Actuarial'!$B$8:$I$118, 7, 0), VLOOKUP(D60, 'Hip Actuarial'!$B$8:$I$118, 8, 0) ), 1 )</f>
        <v>0.76854999999999996</v>
      </c>
      <c r="H60" s="45">
        <f t="shared" si="6"/>
        <v>0.23145000000000004</v>
      </c>
      <c r="I60" s="31">
        <f t="shared" si="7"/>
        <v>1.6173243752262724E-3</v>
      </c>
      <c r="J60" s="41">
        <f t="shared" si="2"/>
        <v>2.7585969252768408</v>
      </c>
      <c r="K60" s="41">
        <f t="shared" si="3"/>
        <v>15.266937905390044</v>
      </c>
      <c r="L60" s="41">
        <f t="shared" si="4"/>
        <v>18.025534830666885</v>
      </c>
    </row>
    <row r="61" spans="3:12" x14ac:dyDescent="0.2">
      <c r="C61" s="31">
        <v>49</v>
      </c>
      <c r="D61" s="31">
        <f t="shared" si="0"/>
        <v>109</v>
      </c>
      <c r="E61" s="39">
        <f t="shared" si="5"/>
        <v>0.99009900990099009</v>
      </c>
      <c r="F61" s="31">
        <f t="shared" si="1"/>
        <v>0.60803882468894921</v>
      </c>
      <c r="G61" s="44">
        <f>IFERROR( IF($C$4="Hombre", VLOOKUP(D61, 'Hip Actuarial'!$B$8:$I$118, 7, 0), VLOOKUP(D61, 'Hip Actuarial'!$B$8:$I$118, 8, 0) ), 1 )</f>
        <v>0.87666999999999995</v>
      </c>
      <c r="H61" s="45">
        <f t="shared" si="6"/>
        <v>0.12333000000000005</v>
      </c>
      <c r="I61" s="31">
        <f t="shared" si="7"/>
        <v>3.7432972664612084E-4</v>
      </c>
      <c r="J61" s="41">
        <f t="shared" si="2"/>
        <v>0.33684926613306226</v>
      </c>
      <c r="K61" s="41">
        <f t="shared" si="3"/>
        <v>3.9907246971657555</v>
      </c>
      <c r="L61" s="41">
        <f t="shared" si="4"/>
        <v>4.3275739632988177</v>
      </c>
    </row>
    <row r="62" spans="3:12" x14ac:dyDescent="0.2">
      <c r="C62" s="31">
        <v>50</v>
      </c>
      <c r="D62" s="31">
        <f t="shared" si="0"/>
        <v>110</v>
      </c>
      <c r="E62" s="39">
        <f t="shared" si="5"/>
        <v>0.99009900990099009</v>
      </c>
      <c r="F62" s="31">
        <f t="shared" si="1"/>
        <v>0.60201863830589042</v>
      </c>
      <c r="G62" s="44">
        <f>IFERROR( IF($C$4="Hombre", VLOOKUP(D62, 'Hip Actuarial'!$B$8:$I$118, 7, 0), VLOOKUP(D62, 'Hip Actuarial'!$B$8:$I$118, 8, 0) ), 1 )</f>
        <v>1</v>
      </c>
      <c r="H62" s="45">
        <f t="shared" si="6"/>
        <v>0</v>
      </c>
      <c r="I62" s="31">
        <f t="shared" si="7"/>
        <v>4.61660851872661E-5</v>
      </c>
      <c r="J62" s="41">
        <f t="shared" si="2"/>
        <v>0</v>
      </c>
      <c r="K62" s="41">
        <f t="shared" si="3"/>
        <v>0.5558568748070335</v>
      </c>
      <c r="L62" s="41">
        <f t="shared" si="4"/>
        <v>0.5558568748070335</v>
      </c>
    </row>
    <row r="63" spans="3:12" x14ac:dyDescent="0.2">
      <c r="C63" s="31">
        <v>51</v>
      </c>
      <c r="D63" s="31">
        <f t="shared" si="0"/>
        <v>111</v>
      </c>
      <c r="E63" s="39">
        <f t="shared" si="5"/>
        <v>0.99009900990099009</v>
      </c>
      <c r="F63" s="31">
        <f t="shared" si="1"/>
        <v>0.59605805772860432</v>
      </c>
      <c r="G63" s="44">
        <f>IFERROR( IF($C$4="Hombre", VLOOKUP(D63, 'Hip Actuarial'!$B$8:$I$118, 7, 0), VLOOKUP(D63, 'Hip Actuarial'!$B$8:$I$118, 8, 0) ), 1 )</f>
        <v>1</v>
      </c>
      <c r="H63" s="45">
        <f t="shared" si="6"/>
        <v>0</v>
      </c>
      <c r="I63" s="31">
        <f t="shared" si="7"/>
        <v>0</v>
      </c>
      <c r="J63" s="41">
        <f t="shared" si="2"/>
        <v>0</v>
      </c>
      <c r="K63" s="41">
        <f t="shared" si="3"/>
        <v>0</v>
      </c>
      <c r="L63" s="41">
        <f t="shared" si="4"/>
        <v>0</v>
      </c>
    </row>
    <row r="64" spans="3:12" x14ac:dyDescent="0.2">
      <c r="C64" s="31">
        <v>52</v>
      </c>
      <c r="D64" s="31">
        <f t="shared" si="0"/>
        <v>112</v>
      </c>
      <c r="E64" s="39">
        <f t="shared" si="5"/>
        <v>0.99009900990099009</v>
      </c>
      <c r="F64" s="31">
        <f t="shared" si="1"/>
        <v>0.59015649280059845</v>
      </c>
      <c r="G64" s="44">
        <f>IFERROR( IF($C$4="Hombre", VLOOKUP(D64, 'Hip Actuarial'!$B$8:$I$118, 7, 0), VLOOKUP(D64, 'Hip Actuarial'!$B$8:$I$118, 8, 0) ), 1 )</f>
        <v>1</v>
      </c>
      <c r="H64" s="45">
        <f t="shared" si="6"/>
        <v>0</v>
      </c>
      <c r="I64" s="31">
        <f t="shared" si="7"/>
        <v>0</v>
      </c>
      <c r="J64" s="41">
        <f t="shared" si="2"/>
        <v>0</v>
      </c>
      <c r="K64" s="41">
        <f t="shared" si="3"/>
        <v>0</v>
      </c>
      <c r="L64" s="41">
        <f t="shared" si="4"/>
        <v>0</v>
      </c>
    </row>
    <row r="65" spans="3:12" x14ac:dyDescent="0.2">
      <c r="C65" s="31">
        <v>53</v>
      </c>
      <c r="D65" s="31">
        <f t="shared" si="0"/>
        <v>113</v>
      </c>
      <c r="E65" s="39">
        <f t="shared" si="5"/>
        <v>0.99009900990099009</v>
      </c>
      <c r="F65" s="31">
        <f t="shared" si="1"/>
        <v>0.58431335920851313</v>
      </c>
      <c r="G65" s="44">
        <f>IFERROR( IF($C$4="Hombre", VLOOKUP(D65, 'Hip Actuarial'!$B$8:$I$118, 7, 0), VLOOKUP(D65, 'Hip Actuarial'!$B$8:$I$118, 8, 0) ), 1 )</f>
        <v>1</v>
      </c>
      <c r="H65" s="45">
        <f t="shared" si="6"/>
        <v>0</v>
      </c>
      <c r="I65" s="31">
        <f t="shared" si="7"/>
        <v>0</v>
      </c>
      <c r="J65" s="41">
        <f t="shared" si="2"/>
        <v>0</v>
      </c>
      <c r="K65" s="41">
        <f t="shared" si="3"/>
        <v>0</v>
      </c>
      <c r="L65" s="41">
        <f t="shared" si="4"/>
        <v>0</v>
      </c>
    </row>
    <row r="66" spans="3:12" x14ac:dyDescent="0.2">
      <c r="C66" s="31">
        <v>54</v>
      </c>
      <c r="D66" s="31">
        <f t="shared" si="0"/>
        <v>114</v>
      </c>
      <c r="E66" s="39">
        <f t="shared" si="5"/>
        <v>0.99009900990099009</v>
      </c>
      <c r="F66" s="31">
        <f t="shared" si="1"/>
        <v>0.57852807842427056</v>
      </c>
      <c r="G66" s="44">
        <f>IFERROR( IF($C$4="Hombre", VLOOKUP(D66, 'Hip Actuarial'!$B$8:$I$118, 7, 0), VLOOKUP(D66, 'Hip Actuarial'!$B$8:$I$118, 8, 0) ), 1 )</f>
        <v>1</v>
      </c>
      <c r="H66" s="45">
        <f t="shared" si="6"/>
        <v>0</v>
      </c>
      <c r="I66" s="31">
        <f t="shared" si="7"/>
        <v>0</v>
      </c>
      <c r="J66" s="41">
        <f t="shared" si="2"/>
        <v>0</v>
      </c>
      <c r="K66" s="41">
        <f t="shared" si="3"/>
        <v>0</v>
      </c>
      <c r="L66" s="41">
        <f t="shared" si="4"/>
        <v>0</v>
      </c>
    </row>
    <row r="67" spans="3:12" x14ac:dyDescent="0.2">
      <c r="C67" s="31">
        <v>55</v>
      </c>
      <c r="D67" s="31">
        <f t="shared" si="0"/>
        <v>115</v>
      </c>
      <c r="E67" s="39">
        <f t="shared" si="5"/>
        <v>0.99009900990099009</v>
      </c>
      <c r="F67" s="31">
        <f t="shared" si="1"/>
        <v>0.5728000776477925</v>
      </c>
      <c r="G67" s="44">
        <f>IFERROR( IF($C$4="Hombre", VLOOKUP(D67, 'Hip Actuarial'!$B$8:$I$118, 7, 0), VLOOKUP(D67, 'Hip Actuarial'!$B$8:$I$118, 8, 0) ), 1 )</f>
        <v>1</v>
      </c>
      <c r="H67" s="45">
        <f t="shared" si="6"/>
        <v>0</v>
      </c>
      <c r="I67" s="31">
        <f t="shared" si="7"/>
        <v>0</v>
      </c>
      <c r="J67" s="41">
        <f t="shared" si="2"/>
        <v>0</v>
      </c>
      <c r="K67" s="41">
        <f t="shared" si="3"/>
        <v>0</v>
      </c>
      <c r="L67" s="41">
        <f t="shared" si="4"/>
        <v>0</v>
      </c>
    </row>
    <row r="68" spans="3:12" x14ac:dyDescent="0.2">
      <c r="C68" s="31">
        <v>56</v>
      </c>
      <c r="D68" s="31">
        <f t="shared" si="0"/>
        <v>116</v>
      </c>
      <c r="E68" s="39">
        <f t="shared" si="5"/>
        <v>0.99009900990099009</v>
      </c>
      <c r="F68" s="31">
        <f t="shared" si="1"/>
        <v>0.56712878975028957</v>
      </c>
      <c r="G68" s="44">
        <f>IFERROR( IF($C$4="Hombre", VLOOKUP(D68, 'Hip Actuarial'!$B$8:$I$118, 7, 0), VLOOKUP(D68, 'Hip Actuarial'!$B$8:$I$118, 8, 0) ), 1 )</f>
        <v>1</v>
      </c>
      <c r="H68" s="45">
        <f t="shared" si="6"/>
        <v>0</v>
      </c>
      <c r="I68" s="31">
        <f t="shared" si="7"/>
        <v>0</v>
      </c>
      <c r="J68" s="41">
        <f t="shared" si="2"/>
        <v>0</v>
      </c>
      <c r="K68" s="41">
        <f t="shared" si="3"/>
        <v>0</v>
      </c>
      <c r="L68" s="41">
        <f t="shared" si="4"/>
        <v>0</v>
      </c>
    </row>
    <row r="69" spans="3:12" x14ac:dyDescent="0.2">
      <c r="C69" s="31">
        <v>57</v>
      </c>
      <c r="D69" s="31">
        <f t="shared" si="0"/>
        <v>117</v>
      </c>
      <c r="E69" s="39">
        <f t="shared" si="5"/>
        <v>0.99009900990099009</v>
      </c>
      <c r="F69" s="31">
        <f t="shared" si="1"/>
        <v>0.56151365321810853</v>
      </c>
      <c r="G69" s="44">
        <f>IFERROR( IF($C$4="Hombre", VLOOKUP(D69, 'Hip Actuarial'!$B$8:$I$118, 7, 0), VLOOKUP(D69, 'Hip Actuarial'!$B$8:$I$118, 8, 0) ), 1 )</f>
        <v>1</v>
      </c>
      <c r="H69" s="45">
        <f t="shared" si="6"/>
        <v>0</v>
      </c>
      <c r="I69" s="31">
        <f t="shared" si="7"/>
        <v>0</v>
      </c>
      <c r="J69" s="41">
        <f t="shared" si="2"/>
        <v>0</v>
      </c>
      <c r="K69" s="41">
        <f t="shared" si="3"/>
        <v>0</v>
      </c>
      <c r="L69" s="41">
        <f t="shared" si="4"/>
        <v>0</v>
      </c>
    </row>
    <row r="70" spans="3:12" x14ac:dyDescent="0.2">
      <c r="C70" s="31">
        <v>58</v>
      </c>
      <c r="D70" s="31">
        <f t="shared" si="0"/>
        <v>118</v>
      </c>
      <c r="E70" s="39">
        <f t="shared" si="5"/>
        <v>0.99009900990099009</v>
      </c>
      <c r="F70" s="31">
        <f t="shared" si="1"/>
        <v>0.5559541120971373</v>
      </c>
      <c r="G70" s="44">
        <f>IFERROR( IF($C$4="Hombre", VLOOKUP(D70, 'Hip Actuarial'!$B$8:$I$118, 7, 0), VLOOKUP(D70, 'Hip Actuarial'!$B$8:$I$118, 8, 0) ), 1 )</f>
        <v>1</v>
      </c>
      <c r="H70" s="45">
        <f t="shared" si="6"/>
        <v>0</v>
      </c>
      <c r="I70" s="31">
        <f t="shared" si="7"/>
        <v>0</v>
      </c>
      <c r="J70" s="41">
        <f t="shared" si="2"/>
        <v>0</v>
      </c>
      <c r="K70" s="41">
        <f t="shared" si="3"/>
        <v>0</v>
      </c>
      <c r="L70" s="41">
        <f t="shared" si="4"/>
        <v>0</v>
      </c>
    </row>
    <row r="71" spans="3:12" x14ac:dyDescent="0.2">
      <c r="C71" s="31">
        <v>59</v>
      </c>
      <c r="D71" s="31">
        <f t="shared" si="0"/>
        <v>119</v>
      </c>
      <c r="E71" s="39">
        <f t="shared" si="5"/>
        <v>0.99009900990099009</v>
      </c>
      <c r="F71" s="31">
        <f t="shared" si="1"/>
        <v>0.55044961593775965</v>
      </c>
      <c r="G71" s="44">
        <f>IFERROR( IF($C$4="Hombre", VLOOKUP(D71, 'Hip Actuarial'!$B$8:$I$118, 7, 0), VLOOKUP(D71, 'Hip Actuarial'!$B$8:$I$118, 8, 0) ), 1 )</f>
        <v>1</v>
      </c>
      <c r="H71" s="45">
        <f t="shared" si="6"/>
        <v>0</v>
      </c>
      <c r="I71" s="31">
        <f t="shared" si="7"/>
        <v>0</v>
      </c>
      <c r="J71" s="41">
        <f t="shared" si="2"/>
        <v>0</v>
      </c>
      <c r="K71" s="41">
        <f t="shared" si="3"/>
        <v>0</v>
      </c>
      <c r="L71" s="41">
        <f t="shared" si="4"/>
        <v>0</v>
      </c>
    </row>
    <row r="72" spans="3:12" x14ac:dyDescent="0.2">
      <c r="C72" s="31">
        <v>60</v>
      </c>
      <c r="D72" s="31">
        <f t="shared" si="0"/>
        <v>120</v>
      </c>
      <c r="E72" s="39">
        <f t="shared" si="5"/>
        <v>0.99009900990099009</v>
      </c>
      <c r="F72" s="31">
        <f t="shared" si="1"/>
        <v>0.54499961974035604</v>
      </c>
      <c r="G72" s="44">
        <f>IFERROR( IF($C$4="Hombre", VLOOKUP(D72, 'Hip Actuarial'!$B$8:$I$118, 7, 0), VLOOKUP(D72, 'Hip Actuarial'!$B$8:$I$118, 8, 0) ), 1 )</f>
        <v>1</v>
      </c>
      <c r="H72" s="45">
        <f t="shared" si="6"/>
        <v>0</v>
      </c>
      <c r="I72" s="31">
        <f t="shared" si="7"/>
        <v>0</v>
      </c>
      <c r="J72" s="41">
        <f t="shared" si="2"/>
        <v>0</v>
      </c>
      <c r="K72" s="41">
        <f t="shared" si="3"/>
        <v>0</v>
      </c>
      <c r="L72" s="41">
        <f t="shared" si="4"/>
        <v>0</v>
      </c>
    </row>
    <row r="73" spans="3:12" x14ac:dyDescent="0.2">
      <c r="C73" s="31">
        <v>61</v>
      </c>
      <c r="D73" s="31">
        <f t="shared" si="0"/>
        <v>121</v>
      </c>
      <c r="E73" s="39">
        <f t="shared" si="5"/>
        <v>0.99009900990099009</v>
      </c>
      <c r="F73" s="31">
        <f t="shared" si="1"/>
        <v>0.53960358390134255</v>
      </c>
      <c r="G73" s="44">
        <f>IFERROR( IF($C$4="Hombre", VLOOKUP(D73, 'Hip Actuarial'!$B$8:$I$118, 7, 0), VLOOKUP(D73, 'Hip Actuarial'!$B$8:$I$118, 8, 0) ), 1 )</f>
        <v>1</v>
      </c>
      <c r="H73" s="45">
        <f t="shared" si="6"/>
        <v>0</v>
      </c>
      <c r="I73" s="31">
        <f t="shared" si="7"/>
        <v>0</v>
      </c>
      <c r="J73" s="41">
        <f t="shared" si="2"/>
        <v>0</v>
      </c>
      <c r="K73" s="41">
        <f t="shared" si="3"/>
        <v>0</v>
      </c>
      <c r="L73" s="41">
        <f t="shared" si="4"/>
        <v>0</v>
      </c>
    </row>
    <row r="74" spans="3:12" x14ac:dyDescent="0.2">
      <c r="C74" s="31">
        <v>62</v>
      </c>
      <c r="D74" s="31">
        <f t="shared" si="0"/>
        <v>122</v>
      </c>
      <c r="E74" s="39">
        <f t="shared" si="5"/>
        <v>0.99009900990099009</v>
      </c>
      <c r="F74" s="31">
        <f t="shared" si="1"/>
        <v>0.53426097415974527</v>
      </c>
      <c r="G74" s="44">
        <f>IFERROR( IF($C$4="Hombre", VLOOKUP(D74, 'Hip Actuarial'!$B$8:$I$118, 7, 0), VLOOKUP(D74, 'Hip Actuarial'!$B$8:$I$118, 8, 0) ), 1 )</f>
        <v>1</v>
      </c>
      <c r="H74" s="45">
        <f t="shared" si="6"/>
        <v>0</v>
      </c>
      <c r="I74" s="31">
        <f t="shared" si="7"/>
        <v>0</v>
      </c>
      <c r="J74" s="41">
        <f t="shared" si="2"/>
        <v>0</v>
      </c>
      <c r="K74" s="41">
        <f t="shared" si="3"/>
        <v>0</v>
      </c>
      <c r="L74" s="41">
        <f t="shared" si="4"/>
        <v>0</v>
      </c>
    </row>
    <row r="75" spans="3:12" x14ac:dyDescent="0.2">
      <c r="C75" s="31">
        <v>63</v>
      </c>
      <c r="D75" s="31">
        <f t="shared" si="0"/>
        <v>123</v>
      </c>
      <c r="E75" s="39">
        <f t="shared" si="5"/>
        <v>0.99009900990099009</v>
      </c>
      <c r="F75" s="31">
        <f t="shared" si="1"/>
        <v>0.52897126154430207</v>
      </c>
      <c r="G75" s="44">
        <f>IFERROR( IF($C$4="Hombre", VLOOKUP(D75, 'Hip Actuarial'!$B$8:$I$118, 7, 0), VLOOKUP(D75, 'Hip Actuarial'!$B$8:$I$118, 8, 0) ), 1 )</f>
        <v>1</v>
      </c>
      <c r="H75" s="45">
        <f t="shared" si="6"/>
        <v>0</v>
      </c>
      <c r="I75" s="31">
        <f t="shared" si="7"/>
        <v>0</v>
      </c>
      <c r="J75" s="41">
        <f t="shared" si="2"/>
        <v>0</v>
      </c>
      <c r="K75" s="41">
        <f t="shared" si="3"/>
        <v>0</v>
      </c>
      <c r="L75" s="41">
        <f t="shared" si="4"/>
        <v>0</v>
      </c>
    </row>
    <row r="76" spans="3:12" x14ac:dyDescent="0.2">
      <c r="C76" s="31">
        <v>64</v>
      </c>
      <c r="D76" s="31">
        <f t="shared" si="0"/>
        <v>124</v>
      </c>
      <c r="E76" s="39">
        <f t="shared" si="5"/>
        <v>0.99009900990099009</v>
      </c>
      <c r="F76" s="31">
        <f t="shared" si="1"/>
        <v>0.52373392232109117</v>
      </c>
      <c r="G76" s="44">
        <f>IFERROR( IF($C$4="Hombre", VLOOKUP(D76, 'Hip Actuarial'!$B$8:$I$118, 7, 0), VLOOKUP(D76, 'Hip Actuarial'!$B$8:$I$118, 8, 0) ), 1 )</f>
        <v>1</v>
      </c>
      <c r="H76" s="45">
        <f t="shared" si="6"/>
        <v>0</v>
      </c>
      <c r="I76" s="31">
        <f t="shared" si="7"/>
        <v>0</v>
      </c>
      <c r="J76" s="41">
        <f t="shared" si="2"/>
        <v>0</v>
      </c>
      <c r="K76" s="41">
        <f t="shared" si="3"/>
        <v>0</v>
      </c>
      <c r="L76" s="41">
        <f t="shared" si="4"/>
        <v>0</v>
      </c>
    </row>
    <row r="77" spans="3:12" x14ac:dyDescent="0.2">
      <c r="C77" s="31">
        <v>65</v>
      </c>
      <c r="D77" s="31">
        <f t="shared" ref="D77:D112" si="8">$C$3 +C77</f>
        <v>125</v>
      </c>
      <c r="E77" s="39">
        <f t="shared" ref="E77:E112" si="9">1/(1+$F$8)</f>
        <v>0.99009900990099009</v>
      </c>
      <c r="F77" s="31">
        <f t="shared" ref="F77:F112" si="10">1/(1+$F$8)^(C77+1)</f>
        <v>0.51854843794167449</v>
      </c>
      <c r="G77" s="44">
        <f>IFERROR( IF($C$4="Hombre", VLOOKUP(D77, 'Hip Actuarial'!$B$8:$I$118, 7, 0), VLOOKUP(D77, 'Hip Actuarial'!$B$8:$I$118, 8, 0) ), 1 )</f>
        <v>1</v>
      </c>
      <c r="H77" s="45">
        <f t="shared" ref="H77:H112" si="11">1-G77</f>
        <v>0</v>
      </c>
      <c r="I77" s="31">
        <f t="shared" si="7"/>
        <v>0</v>
      </c>
      <c r="J77" s="41">
        <f t="shared" ref="J77:J112" si="12">$C$5*I77*F77*H77</f>
        <v>0</v>
      </c>
      <c r="K77" s="41">
        <f t="shared" ref="K77:K112" si="13">$C$6*(I77*G77)*F77</f>
        <v>0</v>
      </c>
      <c r="L77" s="41">
        <f t="shared" ref="L77:L112" si="14">J77+K77</f>
        <v>0</v>
      </c>
    </row>
    <row r="78" spans="3:12" x14ac:dyDescent="0.2">
      <c r="C78" s="31">
        <v>66</v>
      </c>
      <c r="D78" s="31">
        <f t="shared" si="8"/>
        <v>126</v>
      </c>
      <c r="E78" s="39">
        <f t="shared" si="9"/>
        <v>0.99009900990099009</v>
      </c>
      <c r="F78" s="31">
        <f t="shared" si="10"/>
        <v>0.51341429499175695</v>
      </c>
      <c r="G78" s="44">
        <f>IFERROR( IF($C$4="Hombre", VLOOKUP(D78, 'Hip Actuarial'!$B$8:$I$118, 7, 0), VLOOKUP(D78, 'Hip Actuarial'!$B$8:$I$118, 8, 0) ), 1 )</f>
        <v>1</v>
      </c>
      <c r="H78" s="45">
        <f t="shared" si="11"/>
        <v>0</v>
      </c>
      <c r="I78" s="31">
        <f t="shared" ref="I78:I112" si="15">I77*H77</f>
        <v>0</v>
      </c>
      <c r="J78" s="41">
        <f t="shared" si="12"/>
        <v>0</v>
      </c>
      <c r="K78" s="41">
        <f t="shared" si="13"/>
        <v>0</v>
      </c>
      <c r="L78" s="41">
        <f t="shared" si="14"/>
        <v>0</v>
      </c>
    </row>
    <row r="79" spans="3:12" x14ac:dyDescent="0.2">
      <c r="C79" s="31">
        <v>67</v>
      </c>
      <c r="D79" s="31">
        <f t="shared" si="8"/>
        <v>127</v>
      </c>
      <c r="E79" s="39">
        <f t="shared" si="9"/>
        <v>0.99009900990099009</v>
      </c>
      <c r="F79" s="31">
        <f t="shared" si="10"/>
        <v>0.50833098514035335</v>
      </c>
      <c r="G79" s="44">
        <f>IFERROR( IF($C$4="Hombre", VLOOKUP(D79, 'Hip Actuarial'!$B$8:$I$118, 7, 0), VLOOKUP(D79, 'Hip Actuarial'!$B$8:$I$118, 8, 0) ), 1 )</f>
        <v>1</v>
      </c>
      <c r="H79" s="45">
        <f t="shared" si="11"/>
        <v>0</v>
      </c>
      <c r="I79" s="31">
        <f t="shared" si="15"/>
        <v>0</v>
      </c>
      <c r="J79" s="41">
        <f t="shared" si="12"/>
        <v>0</v>
      </c>
      <c r="K79" s="41">
        <f t="shared" si="13"/>
        <v>0</v>
      </c>
      <c r="L79" s="41">
        <f t="shared" si="14"/>
        <v>0</v>
      </c>
    </row>
    <row r="80" spans="3:12" x14ac:dyDescent="0.2">
      <c r="C80" s="31">
        <v>68</v>
      </c>
      <c r="D80" s="31">
        <f t="shared" si="8"/>
        <v>128</v>
      </c>
      <c r="E80" s="39">
        <f t="shared" si="9"/>
        <v>0.99009900990099009</v>
      </c>
      <c r="F80" s="31">
        <f t="shared" si="10"/>
        <v>0.50329800508945877</v>
      </c>
      <c r="G80" s="44">
        <f>IFERROR( IF($C$4="Hombre", VLOOKUP(D80, 'Hip Actuarial'!$B$8:$I$118, 7, 0), VLOOKUP(D80, 'Hip Actuarial'!$B$8:$I$118, 8, 0) ), 1 )</f>
        <v>1</v>
      </c>
      <c r="H80" s="45">
        <f t="shared" si="11"/>
        <v>0</v>
      </c>
      <c r="I80" s="31">
        <f t="shared" si="15"/>
        <v>0</v>
      </c>
      <c r="J80" s="41">
        <f t="shared" si="12"/>
        <v>0</v>
      </c>
      <c r="K80" s="41">
        <f t="shared" si="13"/>
        <v>0</v>
      </c>
      <c r="L80" s="41">
        <f t="shared" si="14"/>
        <v>0</v>
      </c>
    </row>
    <row r="81" spans="3:12" x14ac:dyDescent="0.2">
      <c r="C81" s="31">
        <v>69</v>
      </c>
      <c r="D81" s="31">
        <f t="shared" si="8"/>
        <v>129</v>
      </c>
      <c r="E81" s="39">
        <f t="shared" si="9"/>
        <v>0.99009900990099009</v>
      </c>
      <c r="F81" s="31">
        <f t="shared" si="10"/>
        <v>0.49831485652421648</v>
      </c>
      <c r="G81" s="44">
        <f>IFERROR( IF($C$4="Hombre", VLOOKUP(D81, 'Hip Actuarial'!$B$8:$I$118, 7, 0), VLOOKUP(D81, 'Hip Actuarial'!$B$8:$I$118, 8, 0) ), 1 )</f>
        <v>1</v>
      </c>
      <c r="H81" s="45">
        <f t="shared" si="11"/>
        <v>0</v>
      </c>
      <c r="I81" s="31">
        <f t="shared" si="15"/>
        <v>0</v>
      </c>
      <c r="J81" s="41">
        <f t="shared" si="12"/>
        <v>0</v>
      </c>
      <c r="K81" s="41">
        <f t="shared" si="13"/>
        <v>0</v>
      </c>
      <c r="L81" s="41">
        <f t="shared" si="14"/>
        <v>0</v>
      </c>
    </row>
    <row r="82" spans="3:12" x14ac:dyDescent="0.2">
      <c r="C82" s="31">
        <v>70</v>
      </c>
      <c r="D82" s="31">
        <f t="shared" si="8"/>
        <v>130</v>
      </c>
      <c r="E82" s="39">
        <f t="shared" si="9"/>
        <v>0.99009900990099009</v>
      </c>
      <c r="F82" s="31">
        <f t="shared" si="10"/>
        <v>0.49338104606358091</v>
      </c>
      <c r="G82" s="44">
        <f>IFERROR( IF($C$4="Hombre", VLOOKUP(D82, 'Hip Actuarial'!$B$8:$I$118, 7, 0), VLOOKUP(D82, 'Hip Actuarial'!$B$8:$I$118, 8, 0) ), 1 )</f>
        <v>1</v>
      </c>
      <c r="H82" s="45">
        <f t="shared" si="11"/>
        <v>0</v>
      </c>
      <c r="I82" s="31">
        <f t="shared" si="15"/>
        <v>0</v>
      </c>
      <c r="J82" s="41">
        <f t="shared" si="12"/>
        <v>0</v>
      </c>
      <c r="K82" s="41">
        <f t="shared" si="13"/>
        <v>0</v>
      </c>
      <c r="L82" s="41">
        <f t="shared" si="14"/>
        <v>0</v>
      </c>
    </row>
    <row r="83" spans="3:12" x14ac:dyDescent="0.2">
      <c r="C83" s="31">
        <v>71</v>
      </c>
      <c r="D83" s="31">
        <f t="shared" si="8"/>
        <v>131</v>
      </c>
      <c r="E83" s="39">
        <f t="shared" si="9"/>
        <v>0.99009900990099009</v>
      </c>
      <c r="F83" s="31">
        <f t="shared" si="10"/>
        <v>0.48849608521146609</v>
      </c>
      <c r="G83" s="44">
        <f>IFERROR( IF($C$4="Hombre", VLOOKUP(D83, 'Hip Actuarial'!$B$8:$I$118, 7, 0), VLOOKUP(D83, 'Hip Actuarial'!$B$8:$I$118, 8, 0) ), 1 )</f>
        <v>1</v>
      </c>
      <c r="H83" s="45">
        <f t="shared" si="11"/>
        <v>0</v>
      </c>
      <c r="I83" s="31">
        <f t="shared" si="15"/>
        <v>0</v>
      </c>
      <c r="J83" s="41">
        <f t="shared" si="12"/>
        <v>0</v>
      </c>
      <c r="K83" s="41">
        <f t="shared" si="13"/>
        <v>0</v>
      </c>
      <c r="L83" s="41">
        <f t="shared" si="14"/>
        <v>0</v>
      </c>
    </row>
    <row r="84" spans="3:12" x14ac:dyDescent="0.2">
      <c r="C84" s="31">
        <v>72</v>
      </c>
      <c r="D84" s="31">
        <f t="shared" si="8"/>
        <v>132</v>
      </c>
      <c r="E84" s="39">
        <f t="shared" si="9"/>
        <v>0.99009900990099009</v>
      </c>
      <c r="F84" s="31">
        <f t="shared" si="10"/>
        <v>0.48365949030838223</v>
      </c>
      <c r="G84" s="44">
        <f>IFERROR( IF($C$4="Hombre", VLOOKUP(D84, 'Hip Actuarial'!$B$8:$I$118, 7, 0), VLOOKUP(D84, 'Hip Actuarial'!$B$8:$I$118, 8, 0) ), 1 )</f>
        <v>1</v>
      </c>
      <c r="H84" s="45">
        <f t="shared" si="11"/>
        <v>0</v>
      </c>
      <c r="I84" s="31">
        <f t="shared" si="15"/>
        <v>0</v>
      </c>
      <c r="J84" s="41">
        <f t="shared" si="12"/>
        <v>0</v>
      </c>
      <c r="K84" s="41">
        <f t="shared" si="13"/>
        <v>0</v>
      </c>
      <c r="L84" s="41">
        <f t="shared" si="14"/>
        <v>0</v>
      </c>
    </row>
    <row r="85" spans="3:12" x14ac:dyDescent="0.2">
      <c r="C85" s="31">
        <v>73</v>
      </c>
      <c r="D85" s="31">
        <f t="shared" si="8"/>
        <v>133</v>
      </c>
      <c r="E85" s="39">
        <f t="shared" si="9"/>
        <v>0.99009900990099009</v>
      </c>
      <c r="F85" s="31">
        <f t="shared" si="10"/>
        <v>0.47887078248354675</v>
      </c>
      <c r="G85" s="44">
        <f>IFERROR( IF($C$4="Hombre", VLOOKUP(D85, 'Hip Actuarial'!$B$8:$I$118, 7, 0), VLOOKUP(D85, 'Hip Actuarial'!$B$8:$I$118, 8, 0) ), 1 )</f>
        <v>1</v>
      </c>
      <c r="H85" s="45">
        <f t="shared" si="11"/>
        <v>0</v>
      </c>
      <c r="I85" s="31">
        <f t="shared" si="15"/>
        <v>0</v>
      </c>
      <c r="J85" s="41">
        <f t="shared" si="12"/>
        <v>0</v>
      </c>
      <c r="K85" s="41">
        <f t="shared" si="13"/>
        <v>0</v>
      </c>
      <c r="L85" s="41">
        <f t="shared" si="14"/>
        <v>0</v>
      </c>
    </row>
    <row r="86" spans="3:12" x14ac:dyDescent="0.2">
      <c r="C86" s="31">
        <v>74</v>
      </c>
      <c r="D86" s="31">
        <f t="shared" si="8"/>
        <v>134</v>
      </c>
      <c r="E86" s="39">
        <f t="shared" si="9"/>
        <v>0.99009900990099009</v>
      </c>
      <c r="F86" s="31">
        <f t="shared" si="10"/>
        <v>0.47412948760747214</v>
      </c>
      <c r="G86" s="44">
        <f>IFERROR( IF($C$4="Hombre", VLOOKUP(D86, 'Hip Actuarial'!$B$8:$I$118, 7, 0), VLOOKUP(D86, 'Hip Actuarial'!$B$8:$I$118, 8, 0) ), 1 )</f>
        <v>1</v>
      </c>
      <c r="H86" s="45">
        <f t="shared" si="11"/>
        <v>0</v>
      </c>
      <c r="I86" s="31">
        <f t="shared" si="15"/>
        <v>0</v>
      </c>
      <c r="J86" s="41">
        <f t="shared" si="12"/>
        <v>0</v>
      </c>
      <c r="K86" s="41">
        <f t="shared" si="13"/>
        <v>0</v>
      </c>
      <c r="L86" s="41">
        <f t="shared" si="14"/>
        <v>0</v>
      </c>
    </row>
    <row r="87" spans="3:12" x14ac:dyDescent="0.2">
      <c r="C87" s="31">
        <v>75</v>
      </c>
      <c r="D87" s="31">
        <f t="shared" si="8"/>
        <v>135</v>
      </c>
      <c r="E87" s="39">
        <f t="shared" si="9"/>
        <v>0.99009900990099009</v>
      </c>
      <c r="F87" s="31">
        <f t="shared" si="10"/>
        <v>0.46943513624502187</v>
      </c>
      <c r="G87" s="44">
        <f>IFERROR( IF($C$4="Hombre", VLOOKUP(D87, 'Hip Actuarial'!$B$8:$I$118, 7, 0), VLOOKUP(D87, 'Hip Actuarial'!$B$8:$I$118, 8, 0) ), 1 )</f>
        <v>1</v>
      </c>
      <c r="H87" s="45">
        <f t="shared" si="11"/>
        <v>0</v>
      </c>
      <c r="I87" s="31">
        <f t="shared" si="15"/>
        <v>0</v>
      </c>
      <c r="J87" s="41">
        <f t="shared" si="12"/>
        <v>0</v>
      </c>
      <c r="K87" s="41">
        <f t="shared" si="13"/>
        <v>0</v>
      </c>
      <c r="L87" s="41">
        <f t="shared" si="14"/>
        <v>0</v>
      </c>
    </row>
    <row r="88" spans="3:12" x14ac:dyDescent="0.2">
      <c r="C88" s="31">
        <v>76</v>
      </c>
      <c r="D88" s="31">
        <f t="shared" si="8"/>
        <v>136</v>
      </c>
      <c r="E88" s="39">
        <f t="shared" si="9"/>
        <v>0.99009900990099009</v>
      </c>
      <c r="F88" s="31">
        <f t="shared" si="10"/>
        <v>0.46478726360893258</v>
      </c>
      <c r="G88" s="44">
        <f>IFERROR( IF($C$4="Hombre", VLOOKUP(D88, 'Hip Actuarial'!$B$8:$I$118, 7, 0), VLOOKUP(D88, 'Hip Actuarial'!$B$8:$I$118, 8, 0) ), 1 )</f>
        <v>1</v>
      </c>
      <c r="H88" s="45">
        <f t="shared" si="11"/>
        <v>0</v>
      </c>
      <c r="I88" s="31">
        <f t="shared" si="15"/>
        <v>0</v>
      </c>
      <c r="J88" s="41">
        <f t="shared" si="12"/>
        <v>0</v>
      </c>
      <c r="K88" s="41">
        <f t="shared" si="13"/>
        <v>0</v>
      </c>
      <c r="L88" s="41">
        <f t="shared" si="14"/>
        <v>0</v>
      </c>
    </row>
    <row r="89" spans="3:12" x14ac:dyDescent="0.2">
      <c r="C89" s="31">
        <v>77</v>
      </c>
      <c r="D89" s="31">
        <f t="shared" si="8"/>
        <v>137</v>
      </c>
      <c r="E89" s="39">
        <f t="shared" si="9"/>
        <v>0.99009900990099009</v>
      </c>
      <c r="F89" s="31">
        <f t="shared" si="10"/>
        <v>0.46018540951379455</v>
      </c>
      <c r="G89" s="44">
        <f>IFERROR( IF($C$4="Hombre", VLOOKUP(D89, 'Hip Actuarial'!$B$8:$I$118, 7, 0), VLOOKUP(D89, 'Hip Actuarial'!$B$8:$I$118, 8, 0) ), 1 )</f>
        <v>1</v>
      </c>
      <c r="H89" s="45">
        <f t="shared" si="11"/>
        <v>0</v>
      </c>
      <c r="I89" s="31">
        <f t="shared" si="15"/>
        <v>0</v>
      </c>
      <c r="J89" s="41">
        <f t="shared" si="12"/>
        <v>0</v>
      </c>
      <c r="K89" s="41">
        <f t="shared" si="13"/>
        <v>0</v>
      </c>
      <c r="L89" s="41">
        <f t="shared" si="14"/>
        <v>0</v>
      </c>
    </row>
    <row r="90" spans="3:12" x14ac:dyDescent="0.2">
      <c r="C90" s="31">
        <v>78</v>
      </c>
      <c r="D90" s="31">
        <f t="shared" si="8"/>
        <v>138</v>
      </c>
      <c r="E90" s="39">
        <f t="shared" si="9"/>
        <v>0.99009900990099009</v>
      </c>
      <c r="F90" s="31">
        <f t="shared" si="10"/>
        <v>0.4556291183304898</v>
      </c>
      <c r="G90" s="44">
        <f>IFERROR( IF($C$4="Hombre", VLOOKUP(D90, 'Hip Actuarial'!$B$8:$I$118, 7, 0), VLOOKUP(D90, 'Hip Actuarial'!$B$8:$I$118, 8, 0) ), 1 )</f>
        <v>1</v>
      </c>
      <c r="H90" s="45">
        <f t="shared" si="11"/>
        <v>0</v>
      </c>
      <c r="I90" s="31">
        <f t="shared" si="15"/>
        <v>0</v>
      </c>
      <c r="J90" s="41">
        <f t="shared" si="12"/>
        <v>0</v>
      </c>
      <c r="K90" s="41">
        <f t="shared" si="13"/>
        <v>0</v>
      </c>
      <c r="L90" s="41">
        <f t="shared" si="14"/>
        <v>0</v>
      </c>
    </row>
    <row r="91" spans="3:12" x14ac:dyDescent="0.2">
      <c r="C91" s="31">
        <v>79</v>
      </c>
      <c r="D91" s="31">
        <f t="shared" si="8"/>
        <v>139</v>
      </c>
      <c r="E91" s="39">
        <f t="shared" si="9"/>
        <v>0.99009900990099009</v>
      </c>
      <c r="F91" s="31">
        <f t="shared" si="10"/>
        <v>0.45111793894107888</v>
      </c>
      <c r="G91" s="44">
        <f>IFERROR( IF($C$4="Hombre", VLOOKUP(D91, 'Hip Actuarial'!$B$8:$I$118, 7, 0), VLOOKUP(D91, 'Hip Actuarial'!$B$8:$I$118, 8, 0) ), 1 )</f>
        <v>1</v>
      </c>
      <c r="H91" s="45">
        <f t="shared" si="11"/>
        <v>0</v>
      </c>
      <c r="I91" s="31">
        <f t="shared" si="15"/>
        <v>0</v>
      </c>
      <c r="J91" s="41">
        <f t="shared" si="12"/>
        <v>0</v>
      </c>
      <c r="K91" s="41">
        <f t="shared" si="13"/>
        <v>0</v>
      </c>
      <c r="L91" s="41">
        <f t="shared" si="14"/>
        <v>0</v>
      </c>
    </row>
    <row r="92" spans="3:12" x14ac:dyDescent="0.2">
      <c r="C92" s="31">
        <v>80</v>
      </c>
      <c r="D92" s="31">
        <f t="shared" si="8"/>
        <v>140</v>
      </c>
      <c r="E92" s="39">
        <f t="shared" si="9"/>
        <v>0.99009900990099009</v>
      </c>
      <c r="F92" s="31">
        <f t="shared" si="10"/>
        <v>0.44665142469413749</v>
      </c>
      <c r="G92" s="44">
        <f>IFERROR( IF($C$4="Hombre", VLOOKUP(D92, 'Hip Actuarial'!$B$8:$I$118, 7, 0), VLOOKUP(D92, 'Hip Actuarial'!$B$8:$I$118, 8, 0) ), 1 )</f>
        <v>1</v>
      </c>
      <c r="H92" s="45">
        <f t="shared" si="11"/>
        <v>0</v>
      </c>
      <c r="I92" s="31">
        <f t="shared" si="15"/>
        <v>0</v>
      </c>
      <c r="J92" s="41">
        <f t="shared" si="12"/>
        <v>0</v>
      </c>
      <c r="K92" s="41">
        <f t="shared" si="13"/>
        <v>0</v>
      </c>
      <c r="L92" s="41">
        <f t="shared" si="14"/>
        <v>0</v>
      </c>
    </row>
    <row r="93" spans="3:12" x14ac:dyDescent="0.2">
      <c r="C93" s="31">
        <v>81</v>
      </c>
      <c r="D93" s="31">
        <f t="shared" si="8"/>
        <v>141</v>
      </c>
      <c r="E93" s="39">
        <f t="shared" si="9"/>
        <v>0.99009900990099009</v>
      </c>
      <c r="F93" s="31">
        <f t="shared" si="10"/>
        <v>0.44222913336053205</v>
      </c>
      <c r="G93" s="44">
        <f>IFERROR( IF($C$4="Hombre", VLOOKUP(D93, 'Hip Actuarial'!$B$8:$I$118, 7, 0), VLOOKUP(D93, 'Hip Actuarial'!$B$8:$I$118, 8, 0) ), 1 )</f>
        <v>1</v>
      </c>
      <c r="H93" s="45">
        <f t="shared" si="11"/>
        <v>0</v>
      </c>
      <c r="I93" s="31">
        <f t="shared" si="15"/>
        <v>0</v>
      </c>
      <c r="J93" s="41">
        <f t="shared" si="12"/>
        <v>0</v>
      </c>
      <c r="K93" s="41">
        <f t="shared" si="13"/>
        <v>0</v>
      </c>
      <c r="L93" s="41">
        <f t="shared" si="14"/>
        <v>0</v>
      </c>
    </row>
    <row r="94" spans="3:12" x14ac:dyDescent="0.2">
      <c r="C94" s="31">
        <v>82</v>
      </c>
      <c r="D94" s="31">
        <f t="shared" si="8"/>
        <v>142</v>
      </c>
      <c r="E94" s="39">
        <f t="shared" si="9"/>
        <v>0.99009900990099009</v>
      </c>
      <c r="F94" s="31">
        <f t="shared" si="10"/>
        <v>0.43785062708963579</v>
      </c>
      <c r="G94" s="44">
        <f>IFERROR( IF($C$4="Hombre", VLOOKUP(D94, 'Hip Actuarial'!$B$8:$I$118, 7, 0), VLOOKUP(D94, 'Hip Actuarial'!$B$8:$I$118, 8, 0) ), 1 )</f>
        <v>1</v>
      </c>
      <c r="H94" s="45">
        <f t="shared" si="11"/>
        <v>0</v>
      </c>
      <c r="I94" s="31">
        <f t="shared" si="15"/>
        <v>0</v>
      </c>
      <c r="J94" s="41">
        <f t="shared" si="12"/>
        <v>0</v>
      </c>
      <c r="K94" s="41">
        <f t="shared" si="13"/>
        <v>0</v>
      </c>
      <c r="L94" s="41">
        <f t="shared" si="14"/>
        <v>0</v>
      </c>
    </row>
    <row r="95" spans="3:12" x14ac:dyDescent="0.2">
      <c r="C95" s="31">
        <v>83</v>
      </c>
      <c r="D95" s="31">
        <f t="shared" si="8"/>
        <v>143</v>
      </c>
      <c r="E95" s="39">
        <f t="shared" si="9"/>
        <v>0.99009900990099009</v>
      </c>
      <c r="F95" s="31">
        <f t="shared" si="10"/>
        <v>0.43351547236597604</v>
      </c>
      <c r="G95" s="44">
        <f>IFERROR( IF($C$4="Hombre", VLOOKUP(D95, 'Hip Actuarial'!$B$8:$I$118, 7, 0), VLOOKUP(D95, 'Hip Actuarial'!$B$8:$I$118, 8, 0) ), 1 )</f>
        <v>1</v>
      </c>
      <c r="H95" s="45">
        <f t="shared" si="11"/>
        <v>0</v>
      </c>
      <c r="I95" s="31">
        <f t="shared" si="15"/>
        <v>0</v>
      </c>
      <c r="J95" s="41">
        <f t="shared" si="12"/>
        <v>0</v>
      </c>
      <c r="K95" s="41">
        <f t="shared" si="13"/>
        <v>0</v>
      </c>
      <c r="L95" s="41">
        <f t="shared" si="14"/>
        <v>0</v>
      </c>
    </row>
    <row r="96" spans="3:12" x14ac:dyDescent="0.2">
      <c r="C96" s="31">
        <v>84</v>
      </c>
      <c r="D96" s="31">
        <f t="shared" si="8"/>
        <v>144</v>
      </c>
      <c r="E96" s="39">
        <f t="shared" si="9"/>
        <v>0.99009900990099009</v>
      </c>
      <c r="F96" s="31">
        <f t="shared" si="10"/>
        <v>0.42922323996631301</v>
      </c>
      <c r="G96" s="44">
        <f>IFERROR( IF($C$4="Hombre", VLOOKUP(D96, 'Hip Actuarial'!$B$8:$I$118, 7, 0), VLOOKUP(D96, 'Hip Actuarial'!$B$8:$I$118, 8, 0) ), 1 )</f>
        <v>1</v>
      </c>
      <c r="H96" s="45">
        <f t="shared" si="11"/>
        <v>0</v>
      </c>
      <c r="I96" s="31">
        <f t="shared" si="15"/>
        <v>0</v>
      </c>
      <c r="J96" s="41">
        <f t="shared" si="12"/>
        <v>0</v>
      </c>
      <c r="K96" s="41">
        <f t="shared" si="13"/>
        <v>0</v>
      </c>
      <c r="L96" s="41">
        <f t="shared" si="14"/>
        <v>0</v>
      </c>
    </row>
    <row r="97" spans="3:12" x14ac:dyDescent="0.2">
      <c r="C97" s="31">
        <v>85</v>
      </c>
      <c r="D97" s="31">
        <f t="shared" si="8"/>
        <v>145</v>
      </c>
      <c r="E97" s="39">
        <f t="shared" si="9"/>
        <v>0.99009900990099009</v>
      </c>
      <c r="F97" s="31">
        <f t="shared" si="10"/>
        <v>0.42497350491714148</v>
      </c>
      <c r="G97" s="44">
        <f>IFERROR( IF($C$4="Hombre", VLOOKUP(D97, 'Hip Actuarial'!$B$8:$I$118, 7, 0), VLOOKUP(D97, 'Hip Actuarial'!$B$8:$I$118, 8, 0) ), 1 )</f>
        <v>1</v>
      </c>
      <c r="H97" s="45">
        <f t="shared" si="11"/>
        <v>0</v>
      </c>
      <c r="I97" s="31">
        <f t="shared" si="15"/>
        <v>0</v>
      </c>
      <c r="J97" s="41">
        <f t="shared" si="12"/>
        <v>0</v>
      </c>
      <c r="K97" s="41">
        <f t="shared" si="13"/>
        <v>0</v>
      </c>
      <c r="L97" s="41">
        <f t="shared" si="14"/>
        <v>0</v>
      </c>
    </row>
    <row r="98" spans="3:12" x14ac:dyDescent="0.2">
      <c r="C98" s="31">
        <v>86</v>
      </c>
      <c r="D98" s="31">
        <f t="shared" si="8"/>
        <v>146</v>
      </c>
      <c r="E98" s="39">
        <f t="shared" si="9"/>
        <v>0.99009900990099009</v>
      </c>
      <c r="F98" s="31">
        <f t="shared" si="10"/>
        <v>0.42076584645261539</v>
      </c>
      <c r="G98" s="44">
        <f>IFERROR( IF($C$4="Hombre", VLOOKUP(D98, 'Hip Actuarial'!$B$8:$I$118, 7, 0), VLOOKUP(D98, 'Hip Actuarial'!$B$8:$I$118, 8, 0) ), 1 )</f>
        <v>1</v>
      </c>
      <c r="H98" s="45">
        <f t="shared" si="11"/>
        <v>0</v>
      </c>
      <c r="I98" s="31">
        <f t="shared" si="15"/>
        <v>0</v>
      </c>
      <c r="J98" s="41">
        <f t="shared" si="12"/>
        <v>0</v>
      </c>
      <c r="K98" s="41">
        <f t="shared" si="13"/>
        <v>0</v>
      </c>
      <c r="L98" s="41">
        <f t="shared" si="14"/>
        <v>0</v>
      </c>
    </row>
    <row r="99" spans="3:12" x14ac:dyDescent="0.2">
      <c r="C99" s="31">
        <v>87</v>
      </c>
      <c r="D99" s="31">
        <f t="shared" si="8"/>
        <v>147</v>
      </c>
      <c r="E99" s="39">
        <f t="shared" si="9"/>
        <v>0.99009900990099009</v>
      </c>
      <c r="F99" s="31">
        <f t="shared" si="10"/>
        <v>0.41659984797288641</v>
      </c>
      <c r="G99" s="44">
        <f>IFERROR( IF($C$4="Hombre", VLOOKUP(D99, 'Hip Actuarial'!$B$8:$I$118, 7, 0), VLOOKUP(D99, 'Hip Actuarial'!$B$8:$I$118, 8, 0) ), 1 )</f>
        <v>1</v>
      </c>
      <c r="H99" s="45">
        <f t="shared" si="11"/>
        <v>0</v>
      </c>
      <c r="I99" s="31">
        <f t="shared" si="15"/>
        <v>0</v>
      </c>
      <c r="J99" s="41">
        <f t="shared" si="12"/>
        <v>0</v>
      </c>
      <c r="K99" s="41">
        <f t="shared" si="13"/>
        <v>0</v>
      </c>
      <c r="L99" s="41">
        <f t="shared" si="14"/>
        <v>0</v>
      </c>
    </row>
    <row r="100" spans="3:12" x14ac:dyDescent="0.2">
      <c r="C100" s="31">
        <v>88</v>
      </c>
      <c r="D100" s="31">
        <f t="shared" si="8"/>
        <v>148</v>
      </c>
      <c r="E100" s="39">
        <f t="shared" si="9"/>
        <v>0.99009900990099009</v>
      </c>
      <c r="F100" s="31">
        <f t="shared" si="10"/>
        <v>0.41247509700285773</v>
      </c>
      <c r="G100" s="44">
        <f>IFERROR( IF($C$4="Hombre", VLOOKUP(D100, 'Hip Actuarial'!$B$8:$I$118, 7, 0), VLOOKUP(D100, 'Hip Actuarial'!$B$8:$I$118, 8, 0) ), 1 )</f>
        <v>1</v>
      </c>
      <c r="H100" s="45">
        <f t="shared" si="11"/>
        <v>0</v>
      </c>
      <c r="I100" s="31">
        <f t="shared" si="15"/>
        <v>0</v>
      </c>
      <c r="J100" s="41">
        <f t="shared" si="12"/>
        <v>0</v>
      </c>
      <c r="K100" s="41">
        <f t="shared" si="13"/>
        <v>0</v>
      </c>
      <c r="L100" s="41">
        <f t="shared" si="14"/>
        <v>0</v>
      </c>
    </row>
    <row r="101" spans="3:12" x14ac:dyDescent="0.2">
      <c r="C101" s="31">
        <v>89</v>
      </c>
      <c r="D101" s="31">
        <f t="shared" si="8"/>
        <v>149</v>
      </c>
      <c r="E101" s="39">
        <f t="shared" si="9"/>
        <v>0.99009900990099009</v>
      </c>
      <c r="F101" s="31">
        <f t="shared" si="10"/>
        <v>0.40839118515134432</v>
      </c>
      <c r="G101" s="44">
        <f>IFERROR( IF($C$4="Hombre", VLOOKUP(D101, 'Hip Actuarial'!$B$8:$I$118, 7, 0), VLOOKUP(D101, 'Hip Actuarial'!$B$8:$I$118, 8, 0) ), 1 )</f>
        <v>1</v>
      </c>
      <c r="H101" s="45">
        <f t="shared" si="11"/>
        <v>0</v>
      </c>
      <c r="I101" s="31">
        <f t="shared" si="15"/>
        <v>0</v>
      </c>
      <c r="J101" s="41">
        <f t="shared" si="12"/>
        <v>0</v>
      </c>
      <c r="K101" s="41">
        <f t="shared" si="13"/>
        <v>0</v>
      </c>
      <c r="L101" s="41">
        <f t="shared" si="14"/>
        <v>0</v>
      </c>
    </row>
    <row r="102" spans="3:12" x14ac:dyDescent="0.2">
      <c r="C102" s="31">
        <v>90</v>
      </c>
      <c r="D102" s="31">
        <f t="shared" si="8"/>
        <v>150</v>
      </c>
      <c r="E102" s="39">
        <f t="shared" si="9"/>
        <v>0.99009900990099009</v>
      </c>
      <c r="F102" s="31">
        <f t="shared" si="10"/>
        <v>0.40434770807063808</v>
      </c>
      <c r="G102" s="44">
        <f>IFERROR( IF($C$4="Hombre", VLOOKUP(D102, 'Hip Actuarial'!$B$8:$I$118, 7, 0), VLOOKUP(D102, 'Hip Actuarial'!$B$8:$I$118, 8, 0) ), 1 )</f>
        <v>1</v>
      </c>
      <c r="H102" s="45">
        <f t="shared" si="11"/>
        <v>0</v>
      </c>
      <c r="I102" s="31">
        <f t="shared" si="15"/>
        <v>0</v>
      </c>
      <c r="J102" s="41">
        <f t="shared" si="12"/>
        <v>0</v>
      </c>
      <c r="K102" s="41">
        <f t="shared" si="13"/>
        <v>0</v>
      </c>
      <c r="L102" s="41">
        <f t="shared" si="14"/>
        <v>0</v>
      </c>
    </row>
    <row r="103" spans="3:12" x14ac:dyDescent="0.2">
      <c r="C103" s="31">
        <v>91</v>
      </c>
      <c r="D103" s="31">
        <f t="shared" si="8"/>
        <v>151</v>
      </c>
      <c r="E103" s="39">
        <f t="shared" si="9"/>
        <v>0.99009900990099009</v>
      </c>
      <c r="F103" s="31">
        <f t="shared" si="10"/>
        <v>0.40034426541647333</v>
      </c>
      <c r="G103" s="44">
        <f>IFERROR( IF($C$4="Hombre", VLOOKUP(D103, 'Hip Actuarial'!$B$8:$I$118, 7, 0), VLOOKUP(D103, 'Hip Actuarial'!$B$8:$I$118, 8, 0) ), 1 )</f>
        <v>1</v>
      </c>
      <c r="H103" s="45">
        <f t="shared" si="11"/>
        <v>0</v>
      </c>
      <c r="I103" s="31">
        <f t="shared" si="15"/>
        <v>0</v>
      </c>
      <c r="J103" s="41">
        <f t="shared" si="12"/>
        <v>0</v>
      </c>
      <c r="K103" s="41">
        <f t="shared" si="13"/>
        <v>0</v>
      </c>
      <c r="L103" s="41">
        <f t="shared" si="14"/>
        <v>0</v>
      </c>
    </row>
    <row r="104" spans="3:12" x14ac:dyDescent="0.2">
      <c r="C104" s="31">
        <v>92</v>
      </c>
      <c r="D104" s="31">
        <f t="shared" si="8"/>
        <v>152</v>
      </c>
      <c r="E104" s="39">
        <f t="shared" si="9"/>
        <v>0.99009900990099009</v>
      </c>
      <c r="F104" s="31">
        <f t="shared" si="10"/>
        <v>0.39638046080838946</v>
      </c>
      <c r="G104" s="44">
        <f>IFERROR( IF($C$4="Hombre", VLOOKUP(D104, 'Hip Actuarial'!$B$8:$I$118, 7, 0), VLOOKUP(D104, 'Hip Actuarial'!$B$8:$I$118, 8, 0) ), 1 )</f>
        <v>1</v>
      </c>
      <c r="H104" s="45">
        <f t="shared" si="11"/>
        <v>0</v>
      </c>
      <c r="I104" s="31">
        <f t="shared" si="15"/>
        <v>0</v>
      </c>
      <c r="J104" s="41">
        <f t="shared" si="12"/>
        <v>0</v>
      </c>
      <c r="K104" s="41">
        <f t="shared" si="13"/>
        <v>0</v>
      </c>
      <c r="L104" s="41">
        <f t="shared" si="14"/>
        <v>0</v>
      </c>
    </row>
    <row r="105" spans="3:12" x14ac:dyDescent="0.2">
      <c r="C105" s="31">
        <v>93</v>
      </c>
      <c r="D105" s="31">
        <f t="shared" si="8"/>
        <v>153</v>
      </c>
      <c r="E105" s="39">
        <f t="shared" si="9"/>
        <v>0.99009900990099009</v>
      </c>
      <c r="F105" s="31">
        <f t="shared" si="10"/>
        <v>0.39245590179048445</v>
      </c>
      <c r="G105" s="44">
        <f>IFERROR( IF($C$4="Hombre", VLOOKUP(D105, 'Hip Actuarial'!$B$8:$I$118, 7, 0), VLOOKUP(D105, 'Hip Actuarial'!$B$8:$I$118, 8, 0) ), 1 )</f>
        <v>1</v>
      </c>
      <c r="H105" s="45">
        <f t="shared" si="11"/>
        <v>0</v>
      </c>
      <c r="I105" s="31">
        <f t="shared" si="15"/>
        <v>0</v>
      </c>
      <c r="J105" s="41">
        <f t="shared" si="12"/>
        <v>0</v>
      </c>
      <c r="K105" s="41">
        <f t="shared" si="13"/>
        <v>0</v>
      </c>
      <c r="L105" s="41">
        <f t="shared" si="14"/>
        <v>0</v>
      </c>
    </row>
    <row r="106" spans="3:12" x14ac:dyDescent="0.2">
      <c r="C106" s="31">
        <v>94</v>
      </c>
      <c r="D106" s="31">
        <f t="shared" si="8"/>
        <v>154</v>
      </c>
      <c r="E106" s="39">
        <f t="shared" si="9"/>
        <v>0.99009900990099009</v>
      </c>
      <c r="F106" s="31">
        <f t="shared" si="10"/>
        <v>0.38857019979255902</v>
      </c>
      <c r="G106" s="44">
        <f>IFERROR( IF($C$4="Hombre", VLOOKUP(D106, 'Hip Actuarial'!$B$8:$I$118, 7, 0), VLOOKUP(D106, 'Hip Actuarial'!$B$8:$I$118, 8, 0) ), 1 )</f>
        <v>1</v>
      </c>
      <c r="H106" s="45">
        <f t="shared" si="11"/>
        <v>0</v>
      </c>
      <c r="I106" s="31">
        <f t="shared" si="15"/>
        <v>0</v>
      </c>
      <c r="J106" s="41">
        <f t="shared" si="12"/>
        <v>0</v>
      </c>
      <c r="K106" s="41">
        <f t="shared" si="13"/>
        <v>0</v>
      </c>
      <c r="L106" s="41">
        <f t="shared" si="14"/>
        <v>0</v>
      </c>
    </row>
    <row r="107" spans="3:12" x14ac:dyDescent="0.2">
      <c r="C107" s="31">
        <v>95</v>
      </c>
      <c r="D107" s="31">
        <f t="shared" si="8"/>
        <v>155</v>
      </c>
      <c r="E107" s="39">
        <f t="shared" si="9"/>
        <v>0.99009900990099009</v>
      </c>
      <c r="F107" s="31">
        <f t="shared" si="10"/>
        <v>0.38472297009164252</v>
      </c>
      <c r="G107" s="44">
        <f>IFERROR( IF($C$4="Hombre", VLOOKUP(D107, 'Hip Actuarial'!$B$8:$I$118, 7, 0), VLOOKUP(D107, 'Hip Actuarial'!$B$8:$I$118, 8, 0) ), 1 )</f>
        <v>1</v>
      </c>
      <c r="H107" s="45">
        <f t="shared" si="11"/>
        <v>0</v>
      </c>
      <c r="I107" s="31">
        <f t="shared" si="15"/>
        <v>0</v>
      </c>
      <c r="J107" s="41">
        <f t="shared" si="12"/>
        <v>0</v>
      </c>
      <c r="K107" s="41">
        <f t="shared" si="13"/>
        <v>0</v>
      </c>
      <c r="L107" s="41">
        <f t="shared" si="14"/>
        <v>0</v>
      </c>
    </row>
    <row r="108" spans="3:12" x14ac:dyDescent="0.2">
      <c r="C108" s="31">
        <v>96</v>
      </c>
      <c r="D108" s="31">
        <f t="shared" si="8"/>
        <v>156</v>
      </c>
      <c r="E108" s="39">
        <f t="shared" si="9"/>
        <v>0.99009900990099009</v>
      </c>
      <c r="F108" s="31">
        <f t="shared" si="10"/>
        <v>0.38091383177390342</v>
      </c>
      <c r="G108" s="44">
        <f>IFERROR( IF($C$4="Hombre", VLOOKUP(D108, 'Hip Actuarial'!$B$8:$I$118, 7, 0), VLOOKUP(D108, 'Hip Actuarial'!$B$8:$I$118, 8, 0) ), 1 )</f>
        <v>1</v>
      </c>
      <c r="H108" s="45">
        <f t="shared" si="11"/>
        <v>0</v>
      </c>
      <c r="I108" s="31">
        <f t="shared" si="15"/>
        <v>0</v>
      </c>
      <c r="J108" s="41">
        <f t="shared" si="12"/>
        <v>0</v>
      </c>
      <c r="K108" s="41">
        <f t="shared" si="13"/>
        <v>0</v>
      </c>
      <c r="L108" s="41">
        <f t="shared" si="14"/>
        <v>0</v>
      </c>
    </row>
    <row r="109" spans="3:12" x14ac:dyDescent="0.2">
      <c r="C109" s="31">
        <v>97</v>
      </c>
      <c r="D109" s="31">
        <f t="shared" si="8"/>
        <v>157</v>
      </c>
      <c r="E109" s="39">
        <f t="shared" si="9"/>
        <v>0.99009900990099009</v>
      </c>
      <c r="F109" s="31">
        <f t="shared" si="10"/>
        <v>0.37714240769693413</v>
      </c>
      <c r="G109" s="44">
        <f>IFERROR( IF($C$4="Hombre", VLOOKUP(D109, 'Hip Actuarial'!$B$8:$I$118, 7, 0), VLOOKUP(D109, 'Hip Actuarial'!$B$8:$I$118, 8, 0) ), 1 )</f>
        <v>1</v>
      </c>
      <c r="H109" s="45">
        <f t="shared" si="11"/>
        <v>0</v>
      </c>
      <c r="I109" s="31">
        <f t="shared" si="15"/>
        <v>0</v>
      </c>
      <c r="J109" s="41">
        <f t="shared" si="12"/>
        <v>0</v>
      </c>
      <c r="K109" s="41">
        <f t="shared" si="13"/>
        <v>0</v>
      </c>
      <c r="L109" s="41">
        <f t="shared" si="14"/>
        <v>0</v>
      </c>
    </row>
    <row r="110" spans="3:12" x14ac:dyDescent="0.2">
      <c r="C110" s="31">
        <v>98</v>
      </c>
      <c r="D110" s="31">
        <f t="shared" si="8"/>
        <v>158</v>
      </c>
      <c r="E110" s="39">
        <f t="shared" si="9"/>
        <v>0.99009900990099009</v>
      </c>
      <c r="F110" s="31">
        <f t="shared" si="10"/>
        <v>0.37340832445241012</v>
      </c>
      <c r="G110" s="44">
        <f>IFERROR( IF($C$4="Hombre", VLOOKUP(D110, 'Hip Actuarial'!$B$8:$I$118, 7, 0), VLOOKUP(D110, 'Hip Actuarial'!$B$8:$I$118, 8, 0) ), 1 )</f>
        <v>1</v>
      </c>
      <c r="H110" s="45">
        <f t="shared" si="11"/>
        <v>0</v>
      </c>
      <c r="I110" s="31">
        <f t="shared" si="15"/>
        <v>0</v>
      </c>
      <c r="J110" s="41">
        <f t="shared" si="12"/>
        <v>0</v>
      </c>
      <c r="K110" s="41">
        <f t="shared" si="13"/>
        <v>0</v>
      </c>
      <c r="L110" s="41">
        <f t="shared" si="14"/>
        <v>0</v>
      </c>
    </row>
    <row r="111" spans="3:12" x14ac:dyDescent="0.2">
      <c r="C111" s="31">
        <v>99</v>
      </c>
      <c r="D111" s="31">
        <f t="shared" si="8"/>
        <v>159</v>
      </c>
      <c r="E111" s="39">
        <f t="shared" si="9"/>
        <v>0.99009900990099009</v>
      </c>
      <c r="F111" s="31">
        <f t="shared" si="10"/>
        <v>0.36971121232911885</v>
      </c>
      <c r="G111" s="44">
        <f>IFERROR( IF($C$4="Hombre", VLOOKUP(D111, 'Hip Actuarial'!$B$8:$I$118, 7, 0), VLOOKUP(D111, 'Hip Actuarial'!$B$8:$I$118, 8, 0) ), 1 )</f>
        <v>1</v>
      </c>
      <c r="H111" s="45">
        <f t="shared" si="11"/>
        <v>0</v>
      </c>
      <c r="I111" s="31">
        <f t="shared" si="15"/>
        <v>0</v>
      </c>
      <c r="J111" s="41">
        <f t="shared" si="12"/>
        <v>0</v>
      </c>
      <c r="K111" s="41">
        <f t="shared" si="13"/>
        <v>0</v>
      </c>
      <c r="L111" s="41">
        <f t="shared" si="14"/>
        <v>0</v>
      </c>
    </row>
    <row r="112" spans="3:12" x14ac:dyDescent="0.2">
      <c r="C112" s="31">
        <v>100</v>
      </c>
      <c r="D112" s="31">
        <f t="shared" si="8"/>
        <v>160</v>
      </c>
      <c r="E112" s="39">
        <f t="shared" si="9"/>
        <v>0.99009900990099009</v>
      </c>
      <c r="F112" s="31">
        <f t="shared" si="10"/>
        <v>0.3660507052763553</v>
      </c>
      <c r="G112" s="44">
        <f>IFERROR( IF($C$4="Hombre", VLOOKUP(D112, 'Hip Actuarial'!$B$8:$I$118, 7, 0), VLOOKUP(D112, 'Hip Actuarial'!$B$8:$I$118, 8, 0) ), 1 )</f>
        <v>1</v>
      </c>
      <c r="H112" s="45">
        <f t="shared" si="11"/>
        <v>0</v>
      </c>
      <c r="I112" s="31">
        <f t="shared" si="15"/>
        <v>0</v>
      </c>
      <c r="J112" s="41">
        <f t="shared" si="12"/>
        <v>0</v>
      </c>
      <c r="K112" s="41">
        <f t="shared" si="13"/>
        <v>0</v>
      </c>
      <c r="L112" s="4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18"/>
  <sheetViews>
    <sheetView showGridLines="0" zoomScaleNormal="100" workbookViewId="0">
      <selection activeCell="H7" sqref="H7"/>
    </sheetView>
  </sheetViews>
  <sheetFormatPr baseColWidth="10" defaultRowHeight="15" x14ac:dyDescent="0.2"/>
  <cols>
    <col min="1" max="1" width="5.6640625" style="1" customWidth="1"/>
    <col min="2" max="4" width="13.1640625" style="1" customWidth="1"/>
    <col min="5" max="6" width="12" style="1" bestFit="1" customWidth="1"/>
    <col min="7" max="9" width="12.1640625" style="1" customWidth="1"/>
  </cols>
  <sheetData>
    <row r="2" spans="2:9" x14ac:dyDescent="0.2">
      <c r="F2" s="2" t="s">
        <v>0</v>
      </c>
      <c r="G2" s="3">
        <v>2026</v>
      </c>
    </row>
    <row r="3" spans="2:9" x14ac:dyDescent="0.2">
      <c r="F3" s="2"/>
    </row>
    <row r="4" spans="2:9" x14ac:dyDescent="0.2">
      <c r="B4" s="4" t="s">
        <v>10</v>
      </c>
      <c r="C4" s="5"/>
      <c r="D4" s="5"/>
      <c r="F4" s="2" t="s">
        <v>12</v>
      </c>
      <c r="G4" s="6">
        <f>'Cálculo provisión'!C3</f>
        <v>60</v>
      </c>
    </row>
    <row r="5" spans="2:9" x14ac:dyDescent="0.2">
      <c r="F5" s="2" t="s">
        <v>1</v>
      </c>
      <c r="G5" s="7">
        <f>G2-2009</f>
        <v>17</v>
      </c>
    </row>
    <row r="6" spans="2:9" x14ac:dyDescent="0.2">
      <c r="B6" s="51" t="s">
        <v>11</v>
      </c>
      <c r="C6" s="51"/>
      <c r="D6" s="51"/>
      <c r="E6" s="51"/>
      <c r="F6" s="51"/>
      <c r="H6" s="52" t="s">
        <v>13</v>
      </c>
      <c r="I6" s="52"/>
    </row>
    <row r="7" spans="2:9" x14ac:dyDescent="0.2">
      <c r="B7" s="8" t="s">
        <v>2</v>
      </c>
      <c r="C7" s="3" t="s">
        <v>3</v>
      </c>
      <c r="D7" s="3" t="s">
        <v>4</v>
      </c>
      <c r="E7" s="9" t="s">
        <v>5</v>
      </c>
      <c r="F7" s="10" t="s">
        <v>6</v>
      </c>
      <c r="G7" s="11" t="s">
        <v>7</v>
      </c>
      <c r="H7" s="3" t="s">
        <v>8</v>
      </c>
      <c r="I7" s="3" t="s">
        <v>9</v>
      </c>
    </row>
    <row r="8" spans="2:9" x14ac:dyDescent="0.2">
      <c r="B8" s="12">
        <v>0</v>
      </c>
      <c r="C8" s="13">
        <v>7.2999999999999996E-4</v>
      </c>
      <c r="D8" s="14">
        <v>3.5936792028024023E-2</v>
      </c>
      <c r="E8" s="15">
        <v>4.0999999999999999E-4</v>
      </c>
      <c r="F8" s="16">
        <v>3.594559332716496E-2</v>
      </c>
      <c r="G8" s="17">
        <f t="shared" ref="G8:G71" si="0">IF(B8&lt;$G$4,0,IF(B8=$G$4,$G$5,G7+1))</f>
        <v>0</v>
      </c>
      <c r="H8" s="18">
        <f>$C8*(1-$D8)^$G8</f>
        <v>7.2999999999999996E-4</v>
      </c>
      <c r="I8" s="19">
        <f t="shared" ref="I8:I71" si="1">$E8*(1-$F8)^$G8</f>
        <v>4.0999999999999999E-4</v>
      </c>
    </row>
    <row r="9" spans="2:9" x14ac:dyDescent="0.2">
      <c r="B9" s="20">
        <f>B8+1</f>
        <v>1</v>
      </c>
      <c r="C9" s="21">
        <v>7.2999999999999996E-4</v>
      </c>
      <c r="D9" s="16">
        <v>1.8262068898213135E-2</v>
      </c>
      <c r="E9" s="15">
        <v>4.0999999999999999E-4</v>
      </c>
      <c r="F9" s="16">
        <v>1.5924066868006626E-2</v>
      </c>
      <c r="G9" s="22">
        <f t="shared" si="0"/>
        <v>0</v>
      </c>
      <c r="H9" s="23">
        <f t="shared" ref="H8:H71" si="2">$C9*(1-$D9)^$G9</f>
        <v>7.2999999999999996E-4</v>
      </c>
      <c r="I9" s="24">
        <f t="shared" si="1"/>
        <v>4.0999999999999999E-4</v>
      </c>
    </row>
    <row r="10" spans="2:9" x14ac:dyDescent="0.2">
      <c r="B10" s="20">
        <f t="shared" ref="B10:B73" si="3">B9+1</f>
        <v>2</v>
      </c>
      <c r="C10" s="21">
        <v>7.3999999999999999E-4</v>
      </c>
      <c r="D10" s="16">
        <v>1.7688957128638494E-2</v>
      </c>
      <c r="E10" s="15">
        <v>4.0999999999999999E-4</v>
      </c>
      <c r="F10" s="16">
        <v>2.1107970163215084E-2</v>
      </c>
      <c r="G10" s="22">
        <f t="shared" si="0"/>
        <v>0</v>
      </c>
      <c r="H10" s="23">
        <f t="shared" si="2"/>
        <v>7.3999999999999999E-4</v>
      </c>
      <c r="I10" s="24">
        <f t="shared" si="1"/>
        <v>4.0999999999999999E-4</v>
      </c>
    </row>
    <row r="11" spans="2:9" x14ac:dyDescent="0.2">
      <c r="B11" s="20">
        <f t="shared" si="3"/>
        <v>3</v>
      </c>
      <c r="C11" s="21">
        <v>7.3999999999999999E-4</v>
      </c>
      <c r="D11" s="16">
        <v>2.0996652794739834E-2</v>
      </c>
      <c r="E11" s="15">
        <v>4.0999999999999999E-4</v>
      </c>
      <c r="F11" s="16">
        <v>2.7067690839477909E-2</v>
      </c>
      <c r="G11" s="22">
        <f t="shared" si="0"/>
        <v>0</v>
      </c>
      <c r="H11" s="23">
        <f t="shared" si="2"/>
        <v>7.3999999999999999E-4</v>
      </c>
      <c r="I11" s="24">
        <f t="shared" si="1"/>
        <v>4.0999999999999999E-4</v>
      </c>
    </row>
    <row r="12" spans="2:9" x14ac:dyDescent="0.2">
      <c r="B12" s="20">
        <f t="shared" si="3"/>
        <v>4</v>
      </c>
      <c r="C12" s="21">
        <v>7.5000000000000002E-4</v>
      </c>
      <c r="D12" s="16">
        <v>2.5502211473969694E-2</v>
      </c>
      <c r="E12" s="15">
        <v>4.0999999999999999E-4</v>
      </c>
      <c r="F12" s="16">
        <v>3.2929098323924877E-2</v>
      </c>
      <c r="G12" s="22">
        <f t="shared" si="0"/>
        <v>0</v>
      </c>
      <c r="H12" s="23">
        <f t="shared" si="2"/>
        <v>7.5000000000000002E-4</v>
      </c>
      <c r="I12" s="24">
        <f t="shared" si="1"/>
        <v>4.0999999999999999E-4</v>
      </c>
    </row>
    <row r="13" spans="2:9" x14ac:dyDescent="0.2">
      <c r="B13" s="20">
        <f t="shared" si="3"/>
        <v>5</v>
      </c>
      <c r="C13" s="21">
        <v>7.6000000000000004E-4</v>
      </c>
      <c r="D13" s="16">
        <v>3.5782699353798519E-2</v>
      </c>
      <c r="E13" s="15">
        <v>4.0999999999999999E-4</v>
      </c>
      <c r="F13" s="16">
        <v>3.639454478486237E-2</v>
      </c>
      <c r="G13" s="22">
        <f t="shared" si="0"/>
        <v>0</v>
      </c>
      <c r="H13" s="23">
        <f t="shared" si="2"/>
        <v>7.6000000000000004E-4</v>
      </c>
      <c r="I13" s="24">
        <f t="shared" si="1"/>
        <v>4.0999999999999999E-4</v>
      </c>
    </row>
    <row r="14" spans="2:9" x14ac:dyDescent="0.2">
      <c r="B14" s="20">
        <f t="shared" si="3"/>
        <v>6</v>
      </c>
      <c r="C14" s="21">
        <v>7.6999999999999996E-4</v>
      </c>
      <c r="D14" s="16">
        <v>4.2665382372247151E-2</v>
      </c>
      <c r="E14" s="15">
        <v>4.0999999999999999E-4</v>
      </c>
      <c r="F14" s="16">
        <v>4.2150715330147026E-2</v>
      </c>
      <c r="G14" s="22">
        <f t="shared" si="0"/>
        <v>0</v>
      </c>
      <c r="H14" s="23">
        <f t="shared" si="2"/>
        <v>7.6999999999999996E-4</v>
      </c>
      <c r="I14" s="24">
        <f t="shared" si="1"/>
        <v>4.0999999999999999E-4</v>
      </c>
    </row>
    <row r="15" spans="2:9" x14ac:dyDescent="0.2">
      <c r="B15" s="20">
        <f t="shared" si="3"/>
        <v>7</v>
      </c>
      <c r="C15" s="21">
        <v>7.7999999999999999E-4</v>
      </c>
      <c r="D15" s="16">
        <v>4.6844833809709274E-2</v>
      </c>
      <c r="E15" s="15">
        <v>4.0999999999999999E-4</v>
      </c>
      <c r="F15" s="16">
        <v>4.64284110755524E-2</v>
      </c>
      <c r="G15" s="22">
        <f t="shared" si="0"/>
        <v>0</v>
      </c>
      <c r="H15" s="23">
        <f t="shared" si="2"/>
        <v>7.7999999999999999E-4</v>
      </c>
      <c r="I15" s="24">
        <f t="shared" si="1"/>
        <v>4.0999999999999999E-4</v>
      </c>
    </row>
    <row r="16" spans="2:9" x14ac:dyDescent="0.2">
      <c r="B16" s="20">
        <f t="shared" si="3"/>
        <v>8</v>
      </c>
      <c r="C16" s="21">
        <v>7.9000000000000001E-4</v>
      </c>
      <c r="D16" s="16">
        <v>4.8511514987285009E-2</v>
      </c>
      <c r="E16" s="15">
        <v>4.0999999999999999E-4</v>
      </c>
      <c r="F16" s="16">
        <v>4.9006595671282072E-2</v>
      </c>
      <c r="G16" s="22">
        <f t="shared" si="0"/>
        <v>0</v>
      </c>
      <c r="H16" s="23">
        <f t="shared" si="2"/>
        <v>7.9000000000000001E-4</v>
      </c>
      <c r="I16" s="24">
        <f t="shared" si="1"/>
        <v>4.0999999999999999E-4</v>
      </c>
    </row>
    <row r="17" spans="2:9" x14ac:dyDescent="0.2">
      <c r="B17" s="20">
        <f t="shared" si="3"/>
        <v>9</v>
      </c>
      <c r="C17" s="21">
        <v>8.0000000000000004E-4</v>
      </c>
      <c r="D17" s="16">
        <v>4.7904173761483704E-2</v>
      </c>
      <c r="E17" s="15">
        <v>4.0999999999999999E-4</v>
      </c>
      <c r="F17" s="16">
        <v>4.9766116797046234E-2</v>
      </c>
      <c r="G17" s="22">
        <f t="shared" si="0"/>
        <v>0</v>
      </c>
      <c r="H17" s="23">
        <f t="shared" si="2"/>
        <v>8.0000000000000004E-4</v>
      </c>
      <c r="I17" s="24">
        <f t="shared" si="1"/>
        <v>4.0999999999999999E-4</v>
      </c>
    </row>
    <row r="18" spans="2:9" x14ac:dyDescent="0.2">
      <c r="B18" s="20">
        <f t="shared" si="3"/>
        <v>10</v>
      </c>
      <c r="C18" s="21">
        <v>8.1999999999999998E-4</v>
      </c>
      <c r="D18" s="16">
        <v>4.4298710155974863E-2</v>
      </c>
      <c r="E18" s="15">
        <v>4.0999999999999999E-4</v>
      </c>
      <c r="F18" s="16">
        <v>4.8728378568293484E-2</v>
      </c>
      <c r="G18" s="22">
        <f t="shared" si="0"/>
        <v>0</v>
      </c>
      <c r="H18" s="23">
        <f t="shared" si="2"/>
        <v>8.1999999999999998E-4</v>
      </c>
      <c r="I18" s="24">
        <f t="shared" si="1"/>
        <v>4.0999999999999999E-4</v>
      </c>
    </row>
    <row r="19" spans="2:9" x14ac:dyDescent="0.2">
      <c r="B19" s="20">
        <f t="shared" si="3"/>
        <v>11</v>
      </c>
      <c r="C19" s="21">
        <v>8.3000000000000001E-4</v>
      </c>
      <c r="D19" s="16">
        <v>4.1103618972120892E-2</v>
      </c>
      <c r="E19" s="15">
        <v>4.0999999999999999E-4</v>
      </c>
      <c r="F19" s="16">
        <v>4.6682580469712631E-2</v>
      </c>
      <c r="G19" s="22">
        <f t="shared" si="0"/>
        <v>0</v>
      </c>
      <c r="H19" s="23">
        <f t="shared" si="2"/>
        <v>8.3000000000000001E-4</v>
      </c>
      <c r="I19" s="24">
        <f t="shared" si="1"/>
        <v>4.0999999999999999E-4</v>
      </c>
    </row>
    <row r="20" spans="2:9" x14ac:dyDescent="0.2">
      <c r="B20" s="20">
        <f t="shared" si="3"/>
        <v>12</v>
      </c>
      <c r="C20" s="21">
        <v>8.4999999999999995E-4</v>
      </c>
      <c r="D20" s="16">
        <v>3.8245309102405201E-2</v>
      </c>
      <c r="E20" s="15">
        <v>4.0999999999999999E-4</v>
      </c>
      <c r="F20" s="16">
        <v>4.3735434526743E-2</v>
      </c>
      <c r="G20" s="22">
        <f t="shared" si="0"/>
        <v>0</v>
      </c>
      <c r="H20" s="23">
        <f t="shared" si="2"/>
        <v>8.4999999999999995E-4</v>
      </c>
      <c r="I20" s="24">
        <f t="shared" si="1"/>
        <v>4.0999999999999999E-4</v>
      </c>
    </row>
    <row r="21" spans="2:9" x14ac:dyDescent="0.2">
      <c r="B21" s="20">
        <f t="shared" si="3"/>
        <v>13</v>
      </c>
      <c r="C21" s="21">
        <v>8.7000000000000001E-4</v>
      </c>
      <c r="D21" s="16">
        <v>3.5632952824982023E-2</v>
      </c>
      <c r="E21" s="15">
        <v>4.0999999999999999E-4</v>
      </c>
      <c r="F21" s="16">
        <v>4.0922204748659485E-2</v>
      </c>
      <c r="G21" s="22">
        <f t="shared" si="0"/>
        <v>0</v>
      </c>
      <c r="H21" s="23">
        <f t="shared" si="2"/>
        <v>8.7000000000000001E-4</v>
      </c>
      <c r="I21" s="24">
        <f t="shared" si="1"/>
        <v>4.0999999999999999E-4</v>
      </c>
    </row>
    <row r="22" spans="2:9" x14ac:dyDescent="0.2">
      <c r="B22" s="20">
        <f t="shared" si="3"/>
        <v>14</v>
      </c>
      <c r="C22" s="21">
        <v>8.8999999999999995E-4</v>
      </c>
      <c r="D22" s="16">
        <v>3.3211862415195914E-2</v>
      </c>
      <c r="E22" s="15">
        <v>4.0999999999999999E-4</v>
      </c>
      <c r="F22" s="16">
        <v>3.8724457137034984E-2</v>
      </c>
      <c r="G22" s="22">
        <f t="shared" si="0"/>
        <v>0</v>
      </c>
      <c r="H22" s="23">
        <f t="shared" si="2"/>
        <v>8.8999999999999995E-4</v>
      </c>
      <c r="I22" s="24">
        <f t="shared" si="1"/>
        <v>4.0999999999999999E-4</v>
      </c>
    </row>
    <row r="23" spans="2:9" x14ac:dyDescent="0.2">
      <c r="B23" s="20">
        <f t="shared" si="3"/>
        <v>15</v>
      </c>
      <c r="C23" s="21">
        <v>9.1E-4</v>
      </c>
      <c r="D23" s="16">
        <v>3.0990599094506965E-2</v>
      </c>
      <c r="E23" s="15">
        <v>4.0999999999999999E-4</v>
      </c>
      <c r="F23" s="16">
        <v>3.7362482232720207E-2</v>
      </c>
      <c r="G23" s="22">
        <f t="shared" si="0"/>
        <v>0</v>
      </c>
      <c r="H23" s="23">
        <f t="shared" si="2"/>
        <v>9.1E-4</v>
      </c>
      <c r="I23" s="24">
        <f t="shared" si="1"/>
        <v>4.0999999999999999E-4</v>
      </c>
    </row>
    <row r="24" spans="2:9" x14ac:dyDescent="0.2">
      <c r="B24" s="20">
        <f t="shared" si="3"/>
        <v>16</v>
      </c>
      <c r="C24" s="21">
        <v>9.3000000000000005E-4</v>
      </c>
      <c r="D24" s="16">
        <v>2.9020515657497636E-2</v>
      </c>
      <c r="E24" s="15">
        <v>4.0999999999999999E-4</v>
      </c>
      <c r="F24" s="16">
        <v>3.6897783680205243E-2</v>
      </c>
      <c r="G24" s="22">
        <f t="shared" si="0"/>
        <v>0</v>
      </c>
      <c r="H24" s="23">
        <f t="shared" si="2"/>
        <v>9.3000000000000005E-4</v>
      </c>
      <c r="I24" s="24">
        <f t="shared" si="1"/>
        <v>4.0999999999999999E-4</v>
      </c>
    </row>
    <row r="25" spans="2:9" x14ac:dyDescent="0.2">
      <c r="B25" s="20">
        <f t="shared" si="3"/>
        <v>17</v>
      </c>
      <c r="C25" s="21">
        <v>9.6000000000000002E-4</v>
      </c>
      <c r="D25" s="16">
        <v>2.7358158755243833E-2</v>
      </c>
      <c r="E25" s="15">
        <v>4.0999999999999999E-4</v>
      </c>
      <c r="F25" s="16">
        <v>3.7243490828758774E-2</v>
      </c>
      <c r="G25" s="22">
        <f t="shared" si="0"/>
        <v>0</v>
      </c>
      <c r="H25" s="23">
        <f t="shared" si="2"/>
        <v>9.6000000000000002E-4</v>
      </c>
      <c r="I25" s="24">
        <f t="shared" si="1"/>
        <v>4.0999999999999999E-4</v>
      </c>
    </row>
    <row r="26" spans="2:9" x14ac:dyDescent="0.2">
      <c r="B26" s="20">
        <f t="shared" si="3"/>
        <v>18</v>
      </c>
      <c r="C26" s="21">
        <v>9.7999999999999997E-4</v>
      </c>
      <c r="D26" s="16">
        <v>2.604064762210101E-2</v>
      </c>
      <c r="E26" s="15">
        <v>4.0999999999999999E-4</v>
      </c>
      <c r="F26" s="16">
        <v>3.8229482677481719E-2</v>
      </c>
      <c r="G26" s="22">
        <f t="shared" si="0"/>
        <v>0</v>
      </c>
      <c r="H26" s="23">
        <f t="shared" si="2"/>
        <v>9.7999999999999997E-4</v>
      </c>
      <c r="I26" s="24">
        <f t="shared" si="1"/>
        <v>4.0999999999999999E-4</v>
      </c>
    </row>
    <row r="27" spans="2:9" x14ac:dyDescent="0.2">
      <c r="B27" s="20">
        <f t="shared" si="3"/>
        <v>19</v>
      </c>
      <c r="C27" s="21">
        <v>1.01E-3</v>
      </c>
      <c r="D27" s="16">
        <v>2.5078971004380946E-2</v>
      </c>
      <c r="E27" s="15">
        <v>4.0999999999999999E-4</v>
      </c>
      <c r="F27" s="16">
        <v>3.9655968510063699E-2</v>
      </c>
      <c r="G27" s="22">
        <f t="shared" si="0"/>
        <v>0</v>
      </c>
      <c r="H27" s="23">
        <f t="shared" si="2"/>
        <v>1.01E-3</v>
      </c>
      <c r="I27" s="24">
        <f t="shared" si="1"/>
        <v>4.0999999999999999E-4</v>
      </c>
    </row>
    <row r="28" spans="2:9" x14ac:dyDescent="0.2">
      <c r="B28" s="20">
        <f t="shared" si="3"/>
        <v>20</v>
      </c>
      <c r="C28" s="21">
        <v>1.0399999999999999E-3</v>
      </c>
      <c r="D28" s="16">
        <v>2.4454132802809947E-2</v>
      </c>
      <c r="E28" s="15">
        <v>4.2000000000000002E-4</v>
      </c>
      <c r="F28" s="16">
        <v>4.1326347566339239E-2</v>
      </c>
      <c r="G28" s="22">
        <f t="shared" si="0"/>
        <v>0</v>
      </c>
      <c r="H28" s="23">
        <f t="shared" si="2"/>
        <v>1.0399999999999999E-3</v>
      </c>
      <c r="I28" s="24">
        <f t="shared" si="1"/>
        <v>4.2000000000000002E-4</v>
      </c>
    </row>
    <row r="29" spans="2:9" x14ac:dyDescent="0.2">
      <c r="B29" s="20">
        <f t="shared" si="3"/>
        <v>21</v>
      </c>
      <c r="C29" s="21">
        <v>1.07E-3</v>
      </c>
      <c r="D29" s="16">
        <v>2.413153548244984E-2</v>
      </c>
      <c r="E29" s="15">
        <v>4.2000000000000002E-4</v>
      </c>
      <c r="F29" s="16">
        <v>4.306857462810787E-2</v>
      </c>
      <c r="G29" s="22">
        <f t="shared" si="0"/>
        <v>0</v>
      </c>
      <c r="H29" s="23">
        <f t="shared" si="2"/>
        <v>1.07E-3</v>
      </c>
      <c r="I29" s="24">
        <f t="shared" si="1"/>
        <v>4.2000000000000002E-4</v>
      </c>
    </row>
    <row r="30" spans="2:9" x14ac:dyDescent="0.2">
      <c r="B30" s="20">
        <f t="shared" si="3"/>
        <v>22</v>
      </c>
      <c r="C30" s="21">
        <v>1.1100000000000001E-3</v>
      </c>
      <c r="D30" s="16">
        <v>2.4065266624836434E-2</v>
      </c>
      <c r="E30" s="15">
        <v>4.2000000000000002E-4</v>
      </c>
      <c r="F30" s="16">
        <v>4.4741609630321921E-2</v>
      </c>
      <c r="G30" s="22">
        <f t="shared" si="0"/>
        <v>0</v>
      </c>
      <c r="H30" s="23">
        <f t="shared" si="2"/>
        <v>1.1100000000000001E-3</v>
      </c>
      <c r="I30" s="24">
        <f t="shared" si="1"/>
        <v>4.2000000000000002E-4</v>
      </c>
    </row>
    <row r="31" spans="2:9" x14ac:dyDescent="0.2">
      <c r="B31" s="20">
        <f t="shared" si="3"/>
        <v>23</v>
      </c>
      <c r="C31" s="21">
        <v>1.14E-3</v>
      </c>
      <c r="D31" s="16">
        <v>2.4204970833773931E-2</v>
      </c>
      <c r="E31" s="15">
        <v>4.2000000000000002E-4</v>
      </c>
      <c r="F31" s="16">
        <v>4.6223940308217193E-2</v>
      </c>
      <c r="G31" s="22">
        <f t="shared" si="0"/>
        <v>0</v>
      </c>
      <c r="H31" s="23">
        <f t="shared" si="2"/>
        <v>1.14E-3</v>
      </c>
      <c r="I31" s="24">
        <f t="shared" si="1"/>
        <v>4.2000000000000002E-4</v>
      </c>
    </row>
    <row r="32" spans="2:9" x14ac:dyDescent="0.2">
      <c r="B32" s="20">
        <f t="shared" si="3"/>
        <v>24</v>
      </c>
      <c r="C32" s="21">
        <v>1.1800000000000001E-3</v>
      </c>
      <c r="D32" s="16">
        <v>2.4498464984424873E-2</v>
      </c>
      <c r="E32" s="15">
        <v>4.2000000000000002E-4</v>
      </c>
      <c r="F32" s="16">
        <v>4.7442686892685271E-2</v>
      </c>
      <c r="G32" s="22">
        <f t="shared" si="0"/>
        <v>0</v>
      </c>
      <c r="H32" s="23">
        <f t="shared" si="2"/>
        <v>1.1800000000000001E-3</v>
      </c>
      <c r="I32" s="24">
        <f t="shared" si="1"/>
        <v>4.2000000000000002E-4</v>
      </c>
    </row>
    <row r="33" spans="2:9" x14ac:dyDescent="0.2">
      <c r="B33" s="20">
        <f t="shared" si="3"/>
        <v>25</v>
      </c>
      <c r="C33" s="21">
        <v>1.2199999999999999E-3</v>
      </c>
      <c r="D33" s="16">
        <v>2.4896177226672478E-2</v>
      </c>
      <c r="E33" s="15">
        <v>4.2000000000000002E-4</v>
      </c>
      <c r="F33" s="16">
        <v>4.8335374012227539E-2</v>
      </c>
      <c r="G33" s="22">
        <f t="shared" si="0"/>
        <v>0</v>
      </c>
      <c r="H33" s="23">
        <f t="shared" si="2"/>
        <v>1.2199999999999999E-3</v>
      </c>
      <c r="I33" s="24">
        <f t="shared" si="1"/>
        <v>4.2000000000000002E-4</v>
      </c>
    </row>
    <row r="34" spans="2:9" x14ac:dyDescent="0.2">
      <c r="B34" s="20">
        <f t="shared" si="3"/>
        <v>26</v>
      </c>
      <c r="C34" s="21">
        <v>1.2600000000000001E-3</v>
      </c>
      <c r="D34" s="16">
        <v>2.5349861040645849E-2</v>
      </c>
      <c r="E34" s="15">
        <v>4.2999999999999999E-4</v>
      </c>
      <c r="F34" s="16">
        <v>4.8886241860411017E-2</v>
      </c>
      <c r="G34" s="22">
        <f t="shared" si="0"/>
        <v>0</v>
      </c>
      <c r="H34" s="23">
        <f t="shared" si="2"/>
        <v>1.2600000000000001E-3</v>
      </c>
      <c r="I34" s="24">
        <f t="shared" si="1"/>
        <v>4.2999999999999999E-4</v>
      </c>
    </row>
    <row r="35" spans="2:9" x14ac:dyDescent="0.2">
      <c r="B35" s="20">
        <f t="shared" si="3"/>
        <v>27</v>
      </c>
      <c r="C35" s="21">
        <v>1.2999999999999999E-3</v>
      </c>
      <c r="D35" s="16">
        <v>2.5815923632636961E-2</v>
      </c>
      <c r="E35" s="15">
        <v>4.2999999999999999E-4</v>
      </c>
      <c r="F35" s="16">
        <v>4.908109655222137E-2</v>
      </c>
      <c r="G35" s="22">
        <f t="shared" si="0"/>
        <v>0</v>
      </c>
      <c r="H35" s="23">
        <f t="shared" si="2"/>
        <v>1.2999999999999999E-3</v>
      </c>
      <c r="I35" s="24">
        <f t="shared" si="1"/>
        <v>4.2999999999999999E-4</v>
      </c>
    </row>
    <row r="36" spans="2:9" x14ac:dyDescent="0.2">
      <c r="B36" s="20">
        <f t="shared" si="3"/>
        <v>28</v>
      </c>
      <c r="C36" s="21">
        <v>1.3500000000000001E-3</v>
      </c>
      <c r="D36" s="16">
        <v>2.6254634864270265E-2</v>
      </c>
      <c r="E36" s="15">
        <v>4.2999999999999999E-4</v>
      </c>
      <c r="F36" s="16">
        <v>4.8944447133154934E-2</v>
      </c>
      <c r="G36" s="22">
        <f t="shared" si="0"/>
        <v>0</v>
      </c>
      <c r="H36" s="23">
        <f t="shared" si="2"/>
        <v>1.3500000000000001E-3</v>
      </c>
      <c r="I36" s="24">
        <f t="shared" si="1"/>
        <v>4.2999999999999999E-4</v>
      </c>
    </row>
    <row r="37" spans="2:9" x14ac:dyDescent="0.2">
      <c r="B37" s="20">
        <f t="shared" si="3"/>
        <v>29</v>
      </c>
      <c r="C37" s="21">
        <v>1.4E-3</v>
      </c>
      <c r="D37" s="16">
        <v>2.6632934784467044E-2</v>
      </c>
      <c r="E37" s="15">
        <v>4.4000000000000002E-4</v>
      </c>
      <c r="F37" s="16">
        <v>4.8501870748668408E-2</v>
      </c>
      <c r="G37" s="22">
        <f t="shared" si="0"/>
        <v>0</v>
      </c>
      <c r="H37" s="23">
        <f t="shared" si="2"/>
        <v>1.4E-3</v>
      </c>
      <c r="I37" s="24">
        <f t="shared" si="1"/>
        <v>4.4000000000000002E-4</v>
      </c>
    </row>
    <row r="38" spans="2:9" x14ac:dyDescent="0.2">
      <c r="B38" s="20">
        <f t="shared" si="3"/>
        <v>30</v>
      </c>
      <c r="C38" s="21">
        <v>1.4499999999999999E-3</v>
      </c>
      <c r="D38" s="16">
        <v>2.6923351053983913E-2</v>
      </c>
      <c r="E38" s="15">
        <v>4.4000000000000002E-4</v>
      </c>
      <c r="F38" s="16">
        <v>4.7788539996711621E-2</v>
      </c>
      <c r="G38" s="22">
        <f t="shared" si="0"/>
        <v>0</v>
      </c>
      <c r="H38" s="23">
        <f t="shared" si="2"/>
        <v>1.4499999999999999E-3</v>
      </c>
      <c r="I38" s="24">
        <f t="shared" si="1"/>
        <v>4.4000000000000002E-4</v>
      </c>
    </row>
    <row r="39" spans="2:9" x14ac:dyDescent="0.2">
      <c r="B39" s="20">
        <f t="shared" si="3"/>
        <v>31</v>
      </c>
      <c r="C39" s="21">
        <v>1.5100000000000001E-3</v>
      </c>
      <c r="D39" s="16">
        <v>2.7104688095601959E-2</v>
      </c>
      <c r="E39" s="15">
        <v>4.4999999999999999E-4</v>
      </c>
      <c r="F39" s="16">
        <v>4.6844857022044439E-2</v>
      </c>
      <c r="G39" s="22">
        <f t="shared" si="0"/>
        <v>0</v>
      </c>
      <c r="H39" s="23">
        <f t="shared" si="2"/>
        <v>1.5100000000000001E-3</v>
      </c>
      <c r="I39" s="24">
        <f t="shared" si="1"/>
        <v>4.4999999999999999E-4</v>
      </c>
    </row>
    <row r="40" spans="2:9" x14ac:dyDescent="0.2">
      <c r="B40" s="20">
        <f t="shared" si="3"/>
        <v>32</v>
      </c>
      <c r="C40" s="21">
        <v>1.56E-3</v>
      </c>
      <c r="D40" s="16">
        <v>2.7163703529472061E-2</v>
      </c>
      <c r="E40" s="15">
        <v>4.4999999999999999E-4</v>
      </c>
      <c r="F40" s="16">
        <v>4.5710776487328353E-2</v>
      </c>
      <c r="G40" s="22">
        <f t="shared" si="0"/>
        <v>0</v>
      </c>
      <c r="H40" s="23">
        <f t="shared" si="2"/>
        <v>1.56E-3</v>
      </c>
      <c r="I40" s="24">
        <f t="shared" si="1"/>
        <v>4.4999999999999999E-4</v>
      </c>
    </row>
    <row r="41" spans="2:9" x14ac:dyDescent="0.2">
      <c r="B41" s="20">
        <f t="shared" si="3"/>
        <v>33</v>
      </c>
      <c r="C41" s="21">
        <v>1.6299999999999999E-3</v>
      </c>
      <c r="D41" s="16">
        <v>2.7092859950736958E-2</v>
      </c>
      <c r="E41" s="15">
        <v>4.6000000000000001E-4</v>
      </c>
      <c r="F41" s="16">
        <v>4.4430983397718116E-2</v>
      </c>
      <c r="G41" s="22">
        <f t="shared" si="0"/>
        <v>0</v>
      </c>
      <c r="H41" s="23">
        <f t="shared" si="2"/>
        <v>1.6299999999999999E-3</v>
      </c>
      <c r="I41" s="24">
        <f t="shared" si="1"/>
        <v>4.6000000000000001E-4</v>
      </c>
    </row>
    <row r="42" spans="2:9" x14ac:dyDescent="0.2">
      <c r="B42" s="20">
        <f t="shared" si="3"/>
        <v>34</v>
      </c>
      <c r="C42" s="21">
        <v>1.6900000000000001E-3</v>
      </c>
      <c r="D42" s="16">
        <v>2.6891646757757681E-2</v>
      </c>
      <c r="E42" s="15">
        <v>4.6000000000000001E-4</v>
      </c>
      <c r="F42" s="16">
        <v>4.3037092267779631E-2</v>
      </c>
      <c r="G42" s="22">
        <f t="shared" si="0"/>
        <v>0</v>
      </c>
      <c r="H42" s="23">
        <f t="shared" si="2"/>
        <v>1.6900000000000001E-3</v>
      </c>
      <c r="I42" s="24">
        <f t="shared" si="1"/>
        <v>4.6000000000000001E-4</v>
      </c>
    </row>
    <row r="43" spans="2:9" x14ac:dyDescent="0.2">
      <c r="B43" s="20">
        <f t="shared" si="3"/>
        <v>35</v>
      </c>
      <c r="C43" s="21">
        <v>1.7600000000000001E-3</v>
      </c>
      <c r="D43" s="16">
        <v>2.6565446747465304E-2</v>
      </c>
      <c r="E43" s="15">
        <v>4.6999999999999999E-4</v>
      </c>
      <c r="F43" s="16">
        <v>4.1564393145683942E-2</v>
      </c>
      <c r="G43" s="22">
        <f t="shared" si="0"/>
        <v>0</v>
      </c>
      <c r="H43" s="23">
        <f t="shared" si="2"/>
        <v>1.7600000000000001E-3</v>
      </c>
      <c r="I43" s="24">
        <f t="shared" si="1"/>
        <v>4.6999999999999999E-4</v>
      </c>
    </row>
    <row r="44" spans="2:9" x14ac:dyDescent="0.2">
      <c r="B44" s="20">
        <f t="shared" si="3"/>
        <v>36</v>
      </c>
      <c r="C44" s="21">
        <v>1.8400000000000001E-3</v>
      </c>
      <c r="D44" s="16">
        <v>2.6124244060610979E-2</v>
      </c>
      <c r="E44" s="15">
        <v>4.8000000000000001E-4</v>
      </c>
      <c r="F44" s="16">
        <v>4.003973308277331E-2</v>
      </c>
      <c r="G44" s="22">
        <f t="shared" si="0"/>
        <v>0</v>
      </c>
      <c r="H44" s="23">
        <f t="shared" si="2"/>
        <v>1.8400000000000001E-3</v>
      </c>
      <c r="I44" s="24">
        <f t="shared" si="1"/>
        <v>4.8000000000000001E-4</v>
      </c>
    </row>
    <row r="45" spans="2:9" x14ac:dyDescent="0.2">
      <c r="B45" s="20">
        <f t="shared" si="3"/>
        <v>37</v>
      </c>
      <c r="C45" s="21">
        <v>1.92E-3</v>
      </c>
      <c r="D45" s="16">
        <v>2.5581951996384023E-2</v>
      </c>
      <c r="E45" s="15">
        <v>4.8999999999999998E-4</v>
      </c>
      <c r="F45" s="16">
        <v>3.8490339230370707E-2</v>
      </c>
      <c r="G45" s="22">
        <f t="shared" si="0"/>
        <v>0</v>
      </c>
      <c r="H45" s="23">
        <f t="shared" si="2"/>
        <v>1.92E-3</v>
      </c>
      <c r="I45" s="24">
        <f t="shared" si="1"/>
        <v>4.8999999999999998E-4</v>
      </c>
    </row>
    <row r="46" spans="2:9" x14ac:dyDescent="0.2">
      <c r="B46" s="20">
        <f t="shared" si="3"/>
        <v>38</v>
      </c>
      <c r="C46" s="21">
        <v>2E-3</v>
      </c>
      <c r="D46" s="16">
        <v>2.4953768383010333E-2</v>
      </c>
      <c r="E46" s="15">
        <v>4.8999999999999998E-4</v>
      </c>
      <c r="F46" s="16">
        <v>3.6936062500750211E-2</v>
      </c>
      <c r="G46" s="22">
        <f t="shared" si="0"/>
        <v>0</v>
      </c>
      <c r="H46" s="23">
        <f t="shared" si="2"/>
        <v>2E-3</v>
      </c>
      <c r="I46" s="24">
        <f t="shared" si="1"/>
        <v>4.8999999999999998E-4</v>
      </c>
    </row>
    <row r="47" spans="2:9" x14ac:dyDescent="0.2">
      <c r="B47" s="20">
        <f t="shared" si="3"/>
        <v>39</v>
      </c>
      <c r="C47" s="21">
        <v>2.0899999999999998E-3</v>
      </c>
      <c r="D47" s="16">
        <v>2.42575794258727E-2</v>
      </c>
      <c r="E47" s="15">
        <v>5.0000000000000001E-4</v>
      </c>
      <c r="F47" s="16">
        <v>3.5396035021290073E-2</v>
      </c>
      <c r="G47" s="22">
        <f t="shared" si="0"/>
        <v>0</v>
      </c>
      <c r="H47" s="23">
        <f t="shared" si="2"/>
        <v>2.0899999999999998E-3</v>
      </c>
      <c r="I47" s="24">
        <f t="shared" si="1"/>
        <v>5.0000000000000001E-4</v>
      </c>
    </row>
    <row r="48" spans="2:9" x14ac:dyDescent="0.2">
      <c r="B48" s="20">
        <f t="shared" si="3"/>
        <v>40</v>
      </c>
      <c r="C48" s="21">
        <v>2.1800000000000001E-3</v>
      </c>
      <c r="D48" s="16">
        <v>2.350996646296466E-2</v>
      </c>
      <c r="E48" s="15">
        <v>5.1999999999999995E-4</v>
      </c>
      <c r="F48" s="16">
        <v>3.3885163363450155E-2</v>
      </c>
      <c r="G48" s="22">
        <f t="shared" si="0"/>
        <v>0</v>
      </c>
      <c r="H48" s="23">
        <f t="shared" si="2"/>
        <v>2.1800000000000001E-3</v>
      </c>
      <c r="I48" s="24">
        <f t="shared" si="1"/>
        <v>5.1999999999999995E-4</v>
      </c>
    </row>
    <row r="49" spans="2:9" x14ac:dyDescent="0.2">
      <c r="B49" s="20">
        <f t="shared" si="3"/>
        <v>41</v>
      </c>
      <c r="C49" s="21">
        <v>2.2799999999999999E-3</v>
      </c>
      <c r="D49" s="16">
        <v>2.2727888321384948E-2</v>
      </c>
      <c r="E49" s="15">
        <v>5.2999999999999998E-4</v>
      </c>
      <c r="F49" s="16">
        <v>3.2415009854346311E-2</v>
      </c>
      <c r="G49" s="22">
        <f t="shared" si="0"/>
        <v>0</v>
      </c>
      <c r="H49" s="23">
        <f t="shared" si="2"/>
        <v>2.2799999999999999E-3</v>
      </c>
      <c r="I49" s="24">
        <f t="shared" si="1"/>
        <v>5.2999999999999998E-4</v>
      </c>
    </row>
    <row r="50" spans="2:9" x14ac:dyDescent="0.2">
      <c r="B50" s="20">
        <f t="shared" si="3"/>
        <v>42</v>
      </c>
      <c r="C50" s="21">
        <v>2.3900000000000002E-3</v>
      </c>
      <c r="D50" s="16">
        <v>2.192672615975233E-2</v>
      </c>
      <c r="E50" s="15">
        <v>5.4000000000000001E-4</v>
      </c>
      <c r="F50" s="16">
        <v>3.0996293178223722E-2</v>
      </c>
      <c r="G50" s="22">
        <f t="shared" si="0"/>
        <v>0</v>
      </c>
      <c r="H50" s="23">
        <f t="shared" si="2"/>
        <v>2.3900000000000002E-3</v>
      </c>
      <c r="I50" s="24">
        <f t="shared" si="1"/>
        <v>5.4000000000000001E-4</v>
      </c>
    </row>
    <row r="51" spans="2:9" x14ac:dyDescent="0.2">
      <c r="B51" s="20">
        <f t="shared" si="3"/>
        <v>43</v>
      </c>
      <c r="C51" s="21">
        <v>2.5000000000000001E-3</v>
      </c>
      <c r="D51" s="16">
        <v>2.1119811474040073E-2</v>
      </c>
      <c r="E51" s="15">
        <v>5.5999999999999995E-4</v>
      </c>
      <c r="F51" s="16">
        <v>2.9636640568302841E-2</v>
      </c>
      <c r="G51" s="22">
        <f t="shared" si="0"/>
        <v>0</v>
      </c>
      <c r="H51" s="23">
        <f t="shared" si="2"/>
        <v>2.5000000000000001E-3</v>
      </c>
      <c r="I51" s="24">
        <f t="shared" si="1"/>
        <v>5.5999999999999995E-4</v>
      </c>
    </row>
    <row r="52" spans="2:9" x14ac:dyDescent="0.2">
      <c r="B52" s="20">
        <f t="shared" si="3"/>
        <v>44</v>
      </c>
      <c r="C52" s="21">
        <v>2.6199999999999999E-3</v>
      </c>
      <c r="D52" s="16">
        <v>2.0318765989797205E-2</v>
      </c>
      <c r="E52" s="15">
        <v>5.6999999999999998E-4</v>
      </c>
      <c r="F52" s="16">
        <v>2.8341897315010578E-2</v>
      </c>
      <c r="G52" s="22">
        <f t="shared" si="0"/>
        <v>0</v>
      </c>
      <c r="H52" s="23">
        <f t="shared" si="2"/>
        <v>2.6199999999999999E-3</v>
      </c>
      <c r="I52" s="24">
        <f t="shared" si="1"/>
        <v>5.6999999999999998E-4</v>
      </c>
    </row>
    <row r="53" spans="2:9" x14ac:dyDescent="0.2">
      <c r="B53" s="20">
        <f t="shared" si="3"/>
        <v>45</v>
      </c>
      <c r="C53" s="21">
        <v>2.7499999999999998E-3</v>
      </c>
      <c r="D53" s="16">
        <v>1.9533416198216691E-2</v>
      </c>
      <c r="E53" s="15">
        <v>5.9000000000000003E-4</v>
      </c>
      <c r="F53" s="16">
        <v>2.7115278884461524E-2</v>
      </c>
      <c r="G53" s="22">
        <f t="shared" si="0"/>
        <v>0</v>
      </c>
      <c r="H53" s="23">
        <f t="shared" si="2"/>
        <v>2.7499999999999998E-3</v>
      </c>
      <c r="I53" s="24">
        <f t="shared" si="1"/>
        <v>5.9000000000000003E-4</v>
      </c>
    </row>
    <row r="54" spans="2:9" x14ac:dyDescent="0.2">
      <c r="B54" s="20">
        <f t="shared" si="3"/>
        <v>46</v>
      </c>
      <c r="C54" s="21">
        <v>2.8800000000000002E-3</v>
      </c>
      <c r="D54" s="16">
        <v>1.8771378431168939E-2</v>
      </c>
      <c r="E54" s="15">
        <v>6.0999999999999997E-4</v>
      </c>
      <c r="F54" s="16">
        <v>2.5959471825898861E-2</v>
      </c>
      <c r="G54" s="22">
        <f t="shared" si="0"/>
        <v>0</v>
      </c>
      <c r="H54" s="23">
        <f t="shared" si="2"/>
        <v>2.8800000000000002E-3</v>
      </c>
      <c r="I54" s="24">
        <f t="shared" si="1"/>
        <v>6.0999999999999997E-4</v>
      </c>
    </row>
    <row r="55" spans="2:9" x14ac:dyDescent="0.2">
      <c r="B55" s="20">
        <f t="shared" si="3"/>
        <v>47</v>
      </c>
      <c r="C55" s="21">
        <v>3.0300000000000001E-3</v>
      </c>
      <c r="D55" s="16">
        <v>1.803837044424994E-2</v>
      </c>
      <c r="E55" s="15">
        <v>6.3000000000000003E-4</v>
      </c>
      <c r="F55" s="16">
        <v>2.4875182033038179E-2</v>
      </c>
      <c r="G55" s="22">
        <f t="shared" si="0"/>
        <v>0</v>
      </c>
      <c r="H55" s="23">
        <f t="shared" si="2"/>
        <v>3.0300000000000001E-3</v>
      </c>
      <c r="I55" s="24">
        <f t="shared" si="1"/>
        <v>6.3000000000000003E-4</v>
      </c>
    </row>
    <row r="56" spans="2:9" x14ac:dyDescent="0.2">
      <c r="B56" s="20">
        <f t="shared" si="3"/>
        <v>48</v>
      </c>
      <c r="C56" s="21">
        <v>3.1800000000000001E-3</v>
      </c>
      <c r="D56" s="16">
        <v>1.7338607361724656E-2</v>
      </c>
      <c r="E56" s="15">
        <v>6.4999999999999997E-4</v>
      </c>
      <c r="F56" s="16">
        <v>2.386173281386228E-2</v>
      </c>
      <c r="G56" s="22">
        <f t="shared" si="0"/>
        <v>0</v>
      </c>
      <c r="H56" s="23">
        <f t="shared" si="2"/>
        <v>3.1800000000000001E-3</v>
      </c>
      <c r="I56" s="24">
        <f t="shared" si="1"/>
        <v>6.4999999999999997E-4</v>
      </c>
    </row>
    <row r="57" spans="2:9" x14ac:dyDescent="0.2">
      <c r="B57" s="20">
        <f t="shared" si="3"/>
        <v>49</v>
      </c>
      <c r="C57" s="21">
        <v>3.3400000000000001E-3</v>
      </c>
      <c r="D57" s="16">
        <v>1.6674757462825096E-2</v>
      </c>
      <c r="E57" s="15">
        <v>6.8000000000000005E-4</v>
      </c>
      <c r="F57" s="16">
        <v>2.2917410982561948E-2</v>
      </c>
      <c r="G57" s="22">
        <f t="shared" si="0"/>
        <v>0</v>
      </c>
      <c r="H57" s="23">
        <f t="shared" si="2"/>
        <v>3.3400000000000001E-3</v>
      </c>
      <c r="I57" s="24">
        <f t="shared" si="1"/>
        <v>6.8000000000000005E-4</v>
      </c>
    </row>
    <row r="58" spans="2:9" x14ac:dyDescent="0.2">
      <c r="B58" s="20">
        <f t="shared" si="3"/>
        <v>50</v>
      </c>
      <c r="C58" s="21">
        <v>3.5200000000000001E-3</v>
      </c>
      <c r="D58" s="16">
        <v>1.6048082299756072E-2</v>
      </c>
      <c r="E58" s="15">
        <v>6.9999999999999999E-4</v>
      </c>
      <c r="F58" s="16">
        <v>2.2039889334178886E-2</v>
      </c>
      <c r="G58" s="22">
        <f t="shared" si="0"/>
        <v>0</v>
      </c>
      <c r="H58" s="23">
        <f t="shared" si="2"/>
        <v>3.5200000000000001E-3</v>
      </c>
      <c r="I58" s="24">
        <f t="shared" si="1"/>
        <v>6.9999999999999999E-4</v>
      </c>
    </row>
    <row r="59" spans="2:9" x14ac:dyDescent="0.2">
      <c r="B59" s="20">
        <f t="shared" si="3"/>
        <v>51</v>
      </c>
      <c r="C59" s="21">
        <v>3.7000000000000002E-3</v>
      </c>
      <c r="D59" s="16">
        <v>1.545924580507263E-2</v>
      </c>
      <c r="E59" s="15">
        <v>7.2999999999999996E-4</v>
      </c>
      <c r="F59" s="16">
        <v>2.1226013690419099E-2</v>
      </c>
      <c r="G59" s="22">
        <f t="shared" si="0"/>
        <v>0</v>
      </c>
      <c r="H59" s="23">
        <f t="shared" si="2"/>
        <v>3.7000000000000002E-3</v>
      </c>
      <c r="I59" s="24">
        <f t="shared" si="1"/>
        <v>7.2999999999999996E-4</v>
      </c>
    </row>
    <row r="60" spans="2:9" x14ac:dyDescent="0.2">
      <c r="B60" s="20">
        <f t="shared" si="3"/>
        <v>52</v>
      </c>
      <c r="C60" s="21">
        <v>3.8999999999999998E-3</v>
      </c>
      <c r="D60" s="16">
        <v>1.4907618797097677E-2</v>
      </c>
      <c r="E60" s="15">
        <v>7.6999999999999996E-4</v>
      </c>
      <c r="F60" s="16">
        <v>2.0471960705431225E-2</v>
      </c>
      <c r="G60" s="22">
        <f t="shared" si="0"/>
        <v>0</v>
      </c>
      <c r="H60" s="23">
        <f t="shared" si="2"/>
        <v>3.8999999999999998E-3</v>
      </c>
      <c r="I60" s="24">
        <f t="shared" si="1"/>
        <v>7.6999999999999996E-4</v>
      </c>
    </row>
    <row r="61" spans="2:9" x14ac:dyDescent="0.2">
      <c r="B61" s="20">
        <f t="shared" si="3"/>
        <v>53</v>
      </c>
      <c r="C61" s="21">
        <v>4.1099999999999999E-3</v>
      </c>
      <c r="D61" s="16">
        <v>1.439230399330016E-2</v>
      </c>
      <c r="E61" s="15">
        <v>8.0000000000000004E-4</v>
      </c>
      <c r="F61" s="16">
        <v>1.9773788117828262E-2</v>
      </c>
      <c r="G61" s="22">
        <f t="shared" si="0"/>
        <v>0</v>
      </c>
      <c r="H61" s="23">
        <f t="shared" si="2"/>
        <v>4.1099999999999999E-3</v>
      </c>
      <c r="I61" s="24">
        <f t="shared" si="1"/>
        <v>8.0000000000000004E-4</v>
      </c>
    </row>
    <row r="62" spans="2:9" x14ac:dyDescent="0.2">
      <c r="B62" s="20">
        <f t="shared" si="3"/>
        <v>54</v>
      </c>
      <c r="C62" s="21">
        <v>4.3299999999999996E-3</v>
      </c>
      <c r="D62" s="16">
        <v>1.3911586148966371E-2</v>
      </c>
      <c r="E62" s="15">
        <v>8.4999999999999995E-4</v>
      </c>
      <c r="F62" s="16">
        <v>1.9127321498108474E-2</v>
      </c>
      <c r="G62" s="22">
        <f t="shared" si="0"/>
        <v>0</v>
      </c>
      <c r="H62" s="23">
        <f t="shared" si="2"/>
        <v>4.3299999999999996E-3</v>
      </c>
      <c r="I62" s="24">
        <f t="shared" si="1"/>
        <v>8.4999999999999995E-4</v>
      </c>
    </row>
    <row r="63" spans="2:9" x14ac:dyDescent="0.2">
      <c r="B63" s="20">
        <f t="shared" si="3"/>
        <v>55</v>
      </c>
      <c r="C63" s="21">
        <v>4.5700000000000003E-3</v>
      </c>
      <c r="D63" s="16">
        <v>1.3463672761899859E-2</v>
      </c>
      <c r="E63" s="15">
        <v>8.8999999999999995E-4</v>
      </c>
      <c r="F63" s="16">
        <v>1.8528070644219574E-2</v>
      </c>
      <c r="G63" s="22">
        <f t="shared" si="0"/>
        <v>0</v>
      </c>
      <c r="H63" s="23">
        <f t="shared" si="2"/>
        <v>4.5700000000000003E-3</v>
      </c>
      <c r="I63" s="24">
        <f t="shared" si="1"/>
        <v>8.8999999999999995E-4</v>
      </c>
    </row>
    <row r="64" spans="2:9" x14ac:dyDescent="0.2">
      <c r="B64" s="20">
        <f t="shared" si="3"/>
        <v>56</v>
      </c>
      <c r="C64" s="21">
        <v>4.8300000000000001E-3</v>
      </c>
      <c r="D64" s="16">
        <v>1.3125266987840556E-2</v>
      </c>
      <c r="E64" s="15">
        <v>9.3999999999999997E-4</v>
      </c>
      <c r="F64" s="16">
        <v>1.8061453369875524E-2</v>
      </c>
      <c r="G64" s="22">
        <f t="shared" si="0"/>
        <v>0</v>
      </c>
      <c r="H64" s="23">
        <f t="shared" si="2"/>
        <v>4.8300000000000001E-3</v>
      </c>
      <c r="I64" s="24">
        <f t="shared" si="1"/>
        <v>9.3999999999999997E-4</v>
      </c>
    </row>
    <row r="65" spans="2:9" x14ac:dyDescent="0.2">
      <c r="B65" s="20">
        <f t="shared" si="3"/>
        <v>57</v>
      </c>
      <c r="C65" s="21">
        <v>5.1000000000000004E-3</v>
      </c>
      <c r="D65" s="16">
        <v>1.278660277538346E-2</v>
      </c>
      <c r="E65" s="15">
        <v>1E-3</v>
      </c>
      <c r="F65" s="16">
        <v>1.7594510393565965E-2</v>
      </c>
      <c r="G65" s="22">
        <f t="shared" si="0"/>
        <v>0</v>
      </c>
      <c r="H65" s="23">
        <f t="shared" si="2"/>
        <v>5.1000000000000004E-3</v>
      </c>
      <c r="I65" s="24">
        <f t="shared" si="1"/>
        <v>1E-3</v>
      </c>
    </row>
    <row r="66" spans="2:9" x14ac:dyDescent="0.2">
      <c r="B66" s="20">
        <f t="shared" si="3"/>
        <v>58</v>
      </c>
      <c r="C66" s="21">
        <v>5.3899999999999998E-3</v>
      </c>
      <c r="D66" s="16">
        <v>1.2447647787837912E-2</v>
      </c>
      <c r="E66" s="15">
        <v>1.06E-3</v>
      </c>
      <c r="F66" s="16">
        <v>1.7127025224645487E-2</v>
      </c>
      <c r="G66" s="22">
        <f t="shared" si="0"/>
        <v>0</v>
      </c>
      <c r="H66" s="23">
        <f t="shared" si="2"/>
        <v>5.3899999999999998E-3</v>
      </c>
      <c r="I66" s="24">
        <f t="shared" si="1"/>
        <v>1.06E-3</v>
      </c>
    </row>
    <row r="67" spans="2:9" x14ac:dyDescent="0.2">
      <c r="B67" s="20">
        <f t="shared" si="3"/>
        <v>59</v>
      </c>
      <c r="C67" s="21">
        <v>5.7000000000000002E-3</v>
      </c>
      <c r="D67" s="16">
        <v>1.2108435026595976E-2</v>
      </c>
      <c r="E67" s="15">
        <v>1.1299999999999999E-3</v>
      </c>
      <c r="F67" s="16">
        <v>1.6659176210923832E-2</v>
      </c>
      <c r="G67" s="22">
        <f t="shared" si="0"/>
        <v>0</v>
      </c>
      <c r="H67" s="23">
        <f t="shared" si="2"/>
        <v>5.7000000000000002E-3</v>
      </c>
      <c r="I67" s="24">
        <f t="shared" si="1"/>
        <v>1.1299999999999999E-3</v>
      </c>
    </row>
    <row r="68" spans="2:9" x14ac:dyDescent="0.2">
      <c r="B68" s="20">
        <f t="shared" si="3"/>
        <v>60</v>
      </c>
      <c r="C68" s="21">
        <v>6.0400000000000002E-3</v>
      </c>
      <c r="D68" s="16">
        <v>1.1768973990384901E-2</v>
      </c>
      <c r="E68" s="15">
        <v>1.2099999999999999E-3</v>
      </c>
      <c r="F68" s="16">
        <v>1.6190830610439466E-2</v>
      </c>
      <c r="G68" s="22">
        <f t="shared" si="0"/>
        <v>17</v>
      </c>
      <c r="H68" s="23">
        <f t="shared" si="2"/>
        <v>4.9389107462128662E-3</v>
      </c>
      <c r="I68" s="24">
        <f t="shared" si="1"/>
        <v>9.1679047430657981E-4</v>
      </c>
    </row>
    <row r="69" spans="2:9" x14ac:dyDescent="0.2">
      <c r="B69" s="20">
        <f t="shared" si="3"/>
        <v>61</v>
      </c>
      <c r="C69" s="21">
        <v>6.3899999999999998E-3</v>
      </c>
      <c r="D69" s="16">
        <v>1.1429228543129999E-2</v>
      </c>
      <c r="E69" s="15">
        <v>1.2899999999999999E-3</v>
      </c>
      <c r="F69" s="16">
        <v>1.5722072620727667E-2</v>
      </c>
      <c r="G69" s="22">
        <f t="shared" si="0"/>
        <v>18</v>
      </c>
      <c r="H69" s="23">
        <f t="shared" si="2"/>
        <v>5.1956590242662965E-3</v>
      </c>
      <c r="I69" s="24">
        <f t="shared" si="1"/>
        <v>9.6986020465055281E-4</v>
      </c>
    </row>
    <row r="70" spans="2:9" x14ac:dyDescent="0.2">
      <c r="B70" s="20">
        <f t="shared" si="3"/>
        <v>62</v>
      </c>
      <c r="C70" s="21">
        <v>6.77E-3</v>
      </c>
      <c r="D70" s="16">
        <v>1.108924178176629E-2</v>
      </c>
      <c r="E70" s="15">
        <v>1.39E-3</v>
      </c>
      <c r="F70" s="16">
        <v>1.5252810725028931E-2</v>
      </c>
      <c r="G70" s="22">
        <f t="shared" si="0"/>
        <v>19</v>
      </c>
      <c r="H70" s="23">
        <f t="shared" si="2"/>
        <v>5.477389160715317E-3</v>
      </c>
      <c r="I70" s="24">
        <f t="shared" si="1"/>
        <v>1.0379705897610061E-3</v>
      </c>
    </row>
    <row r="71" spans="2:9" x14ac:dyDescent="0.2">
      <c r="B71" s="20">
        <f t="shared" si="3"/>
        <v>63</v>
      </c>
      <c r="C71" s="21">
        <v>7.1799999999999998E-3</v>
      </c>
      <c r="D71" s="16">
        <v>1.0748982657082795E-2</v>
      </c>
      <c r="E71" s="15">
        <v>1.5E-3</v>
      </c>
      <c r="F71" s="16">
        <v>1.4783092615041515E-2</v>
      </c>
      <c r="G71" s="22">
        <f t="shared" si="0"/>
        <v>20</v>
      </c>
      <c r="H71" s="23">
        <f t="shared" si="2"/>
        <v>5.7843498952984884E-3</v>
      </c>
      <c r="I71" s="24">
        <f t="shared" si="1"/>
        <v>1.1135978477647657E-3</v>
      </c>
    </row>
    <row r="72" spans="2:9" x14ac:dyDescent="0.2">
      <c r="B72" s="20">
        <f t="shared" si="3"/>
        <v>64</v>
      </c>
      <c r="C72" s="21">
        <v>7.6099999999999996E-3</v>
      </c>
      <c r="D72" s="16">
        <v>1.0408460269348052E-2</v>
      </c>
      <c r="E72" s="15">
        <v>1.6299999999999999E-3</v>
      </c>
      <c r="F72" s="16">
        <v>1.4312856554320796E-2</v>
      </c>
      <c r="G72" s="22">
        <f t="shared" ref="G72:G118" si="4">IF(B72&lt;$G$4,0,IF(B72=$G$4,$G$5,G71+1))</f>
        <v>21</v>
      </c>
      <c r="H72" s="23">
        <f t="shared" ref="H72:H118" si="5">$C72*(1-$D72)^$G72</f>
        <v>6.1088590588103571E-3</v>
      </c>
      <c r="I72" s="24">
        <f t="shared" ref="I72:I118" si="6">$E72*(1-$F72)^$G72</f>
        <v>1.2042274873634324E-3</v>
      </c>
    </row>
    <row r="73" spans="2:9" x14ac:dyDescent="0.2">
      <c r="B73" s="20">
        <f t="shared" si="3"/>
        <v>65</v>
      </c>
      <c r="C73" s="21">
        <v>8.0800000000000004E-3</v>
      </c>
      <c r="D73" s="16">
        <v>1.0067702079187835E-2</v>
      </c>
      <c r="E73" s="15">
        <v>1.7700000000000001E-3</v>
      </c>
      <c r="F73" s="16">
        <v>1.3842157632346752E-2</v>
      </c>
      <c r="G73" s="22">
        <f t="shared" si="4"/>
        <v>22</v>
      </c>
      <c r="H73" s="23">
        <f t="shared" si="5"/>
        <v>6.4674373081355999E-3</v>
      </c>
      <c r="I73" s="24">
        <f t="shared" si="6"/>
        <v>1.302551152191887E-3</v>
      </c>
    </row>
    <row r="74" spans="2:9" x14ac:dyDescent="0.2">
      <c r="B74" s="20">
        <f t="shared" ref="B74:B118" si="7">B73+1</f>
        <v>66</v>
      </c>
      <c r="C74" s="21">
        <v>8.5800000000000008E-3</v>
      </c>
      <c r="D74" s="16">
        <v>9.7266879392186034E-3</v>
      </c>
      <c r="E74" s="15">
        <v>1.9300000000000001E-3</v>
      </c>
      <c r="F74" s="16">
        <v>1.3370997614357338E-2</v>
      </c>
      <c r="G74" s="22">
        <f t="shared" si="4"/>
        <v>23</v>
      </c>
      <c r="H74" s="23">
        <f t="shared" si="5"/>
        <v>6.8525783758419867E-3</v>
      </c>
      <c r="I74" s="24">
        <f t="shared" si="6"/>
        <v>1.4161083824067249E-3</v>
      </c>
    </row>
    <row r="75" spans="2:9" x14ac:dyDescent="0.2">
      <c r="B75" s="20">
        <f t="shared" si="7"/>
        <v>67</v>
      </c>
      <c r="C75" s="21">
        <v>9.1199999999999996E-3</v>
      </c>
      <c r="D75" s="16">
        <v>9.3854632518010073E-3</v>
      </c>
      <c r="E75" s="15">
        <v>2.1199999999999999E-3</v>
      </c>
      <c r="F75" s="16">
        <v>1.2899324991482608E-2</v>
      </c>
      <c r="G75" s="22">
        <f t="shared" si="4"/>
        <v>24</v>
      </c>
      <c r="H75" s="23">
        <f t="shared" si="5"/>
        <v>7.2728990589125009E-3</v>
      </c>
      <c r="I75" s="24">
        <f t="shared" si="6"/>
        <v>1.5524250228479233E-3</v>
      </c>
    </row>
    <row r="76" spans="2:9" x14ac:dyDescent="0.2">
      <c r="B76" s="20">
        <f t="shared" si="7"/>
        <v>68</v>
      </c>
      <c r="C76" s="21">
        <v>9.6900000000000007E-3</v>
      </c>
      <c r="D76" s="16">
        <v>9.0440197274559431E-3</v>
      </c>
      <c r="E76" s="15">
        <v>2.33E-3</v>
      </c>
      <c r="F76" s="16">
        <v>1.2427181128177534E-2</v>
      </c>
      <c r="G76" s="22">
        <f t="shared" si="4"/>
        <v>25</v>
      </c>
      <c r="H76" s="23">
        <f t="shared" si="5"/>
        <v>7.7211652931945332E-3</v>
      </c>
      <c r="I76" s="24">
        <f t="shared" si="6"/>
        <v>1.7044494582079156E-3</v>
      </c>
    </row>
    <row r="77" spans="2:9" x14ac:dyDescent="0.2">
      <c r="B77" s="20">
        <f t="shared" si="7"/>
        <v>69</v>
      </c>
      <c r="C77" s="21">
        <v>1.03E-2</v>
      </c>
      <c r="D77" s="16">
        <v>8.7023714979694855E-3</v>
      </c>
      <c r="E77" s="15">
        <v>2.5699999999999998E-3</v>
      </c>
      <c r="F77" s="16">
        <v>1.1954572479255021E-2</v>
      </c>
      <c r="G77" s="22">
        <f t="shared" si="4"/>
        <v>26</v>
      </c>
      <c r="H77" s="23">
        <f t="shared" si="5"/>
        <v>8.2062165307039067E-3</v>
      </c>
      <c r="I77" s="24">
        <f t="shared" si="6"/>
        <v>1.8798917970144896E-3</v>
      </c>
    </row>
    <row r="78" spans="2:9" x14ac:dyDescent="0.2">
      <c r="B78" s="20">
        <f t="shared" si="7"/>
        <v>70</v>
      </c>
      <c r="C78" s="21">
        <v>1.0959999999999999E-2</v>
      </c>
      <c r="D78" s="16">
        <v>8.3605598193176034E-3</v>
      </c>
      <c r="E78" s="15">
        <v>2.8500000000000001E-3</v>
      </c>
      <c r="F78" s="16">
        <v>1.148152096529842E-2</v>
      </c>
      <c r="G78" s="22">
        <f t="shared" si="4"/>
        <v>27</v>
      </c>
      <c r="H78" s="23">
        <f t="shared" si="5"/>
        <v>8.7370118505603733E-3</v>
      </c>
      <c r="I78" s="24">
        <f t="shared" si="6"/>
        <v>2.0865762106220538E-3</v>
      </c>
    </row>
    <row r="79" spans="2:9" x14ac:dyDescent="0.2">
      <c r="B79" s="20">
        <f t="shared" si="7"/>
        <v>71</v>
      </c>
      <c r="C79" s="21">
        <v>1.167E-2</v>
      </c>
      <c r="D79" s="16">
        <v>8.0185968202226565E-3</v>
      </c>
      <c r="E79" s="15">
        <v>3.1700000000000001E-3</v>
      </c>
      <c r="F79" s="16">
        <v>1.100801946445007E-2</v>
      </c>
      <c r="G79" s="22">
        <f t="shared" si="4"/>
        <v>28</v>
      </c>
      <c r="H79" s="23">
        <f t="shared" si="5"/>
        <v>9.3147179419070091E-3</v>
      </c>
      <c r="I79" s="24">
        <f t="shared" si="6"/>
        <v>2.3251813091593799E-3</v>
      </c>
    </row>
    <row r="80" spans="2:9" x14ac:dyDescent="0.2">
      <c r="B80" s="20">
        <f t="shared" si="7"/>
        <v>72</v>
      </c>
      <c r="C80" s="21">
        <v>1.243E-2</v>
      </c>
      <c r="D80" s="16">
        <v>7.6765130601129661E-3</v>
      </c>
      <c r="E80" s="15">
        <v>3.5400000000000002E-3</v>
      </c>
      <c r="F80" s="16">
        <v>1.0534131112237333E-2</v>
      </c>
      <c r="G80" s="22">
        <f t="shared" si="4"/>
        <v>29</v>
      </c>
      <c r="H80" s="23">
        <f t="shared" si="5"/>
        <v>9.9406773299255992E-3</v>
      </c>
      <c r="I80" s="24">
        <f t="shared" si="6"/>
        <v>2.6039160896362936E-3</v>
      </c>
    </row>
    <row r="81" spans="2:9" x14ac:dyDescent="0.2">
      <c r="B81" s="20">
        <f t="shared" si="7"/>
        <v>73</v>
      </c>
      <c r="C81" s="21">
        <v>1.325E-2</v>
      </c>
      <c r="D81" s="16">
        <v>7.3343573659657713E-3</v>
      </c>
      <c r="E81" s="15">
        <v>3.9699999999999996E-3</v>
      </c>
      <c r="F81" s="16">
        <v>1.005985471741111E-2</v>
      </c>
      <c r="G81" s="22">
        <f t="shared" si="4"/>
        <v>30</v>
      </c>
      <c r="H81" s="23">
        <f t="shared" si="5"/>
        <v>1.0624429001138198E-2</v>
      </c>
      <c r="I81" s="24">
        <f t="shared" si="6"/>
        <v>2.9312887857768357E-3</v>
      </c>
    </row>
    <row r="82" spans="2:9" x14ac:dyDescent="0.2">
      <c r="B82" s="20">
        <f t="shared" si="7"/>
        <v>74</v>
      </c>
      <c r="C82" s="21">
        <v>1.413E-2</v>
      </c>
      <c r="D82" s="16">
        <v>6.9921644311206066E-3</v>
      </c>
      <c r="E82" s="15">
        <v>4.4799999999999996E-3</v>
      </c>
      <c r="F82" s="16">
        <v>9.5852754801789564E-3</v>
      </c>
      <c r="G82" s="22">
        <f t="shared" si="4"/>
        <v>31</v>
      </c>
      <c r="H82" s="23">
        <f t="shared" si="5"/>
        <v>1.1367765330871055E-2</v>
      </c>
      <c r="I82" s="24">
        <f t="shared" si="6"/>
        <v>3.3235923763114822E-3</v>
      </c>
    </row>
    <row r="83" spans="2:9" x14ac:dyDescent="0.2">
      <c r="B83" s="20">
        <f t="shared" si="7"/>
        <v>75</v>
      </c>
      <c r="C83" s="21">
        <v>1.507E-2</v>
      </c>
      <c r="D83" s="16">
        <v>6.6499881210151379E-3</v>
      </c>
      <c r="E83" s="15">
        <v>5.0699999999999999E-3</v>
      </c>
      <c r="F83" s="16">
        <v>9.1104082282417176E-3</v>
      </c>
      <c r="G83" s="22">
        <f t="shared" si="4"/>
        <v>32</v>
      </c>
      <c r="H83" s="23">
        <f t="shared" si="5"/>
        <v>1.2172699309982557E-2</v>
      </c>
      <c r="I83" s="24">
        <f t="shared" si="6"/>
        <v>3.7828271012544218E-3</v>
      </c>
    </row>
    <row r="84" spans="2:9" x14ac:dyDescent="0.2">
      <c r="B84" s="20">
        <f t="shared" si="7"/>
        <v>76</v>
      </c>
      <c r="C84" s="21">
        <v>1.6080000000000001E-2</v>
      </c>
      <c r="D84" s="16">
        <v>6.5108507136788507E-3</v>
      </c>
      <c r="E84" s="15">
        <v>5.77E-3</v>
      </c>
      <c r="F84" s="16">
        <v>8.8971498906279534E-3</v>
      </c>
      <c r="G84" s="22">
        <f t="shared" si="4"/>
        <v>33</v>
      </c>
      <c r="H84" s="23">
        <f t="shared" si="5"/>
        <v>1.2961918143170957E-2</v>
      </c>
      <c r="I84" s="24">
        <f t="shared" si="6"/>
        <v>4.2962914917171469E-3</v>
      </c>
    </row>
    <row r="85" spans="2:9" x14ac:dyDescent="0.2">
      <c r="B85" s="20">
        <f t="shared" si="7"/>
        <v>77</v>
      </c>
      <c r="C85" s="21">
        <v>1.7170000000000001E-2</v>
      </c>
      <c r="D85" s="16">
        <v>6.3730011640806827E-3</v>
      </c>
      <c r="E85" s="15">
        <v>6.6E-3</v>
      </c>
      <c r="F85" s="16">
        <v>8.6843288248528161E-3</v>
      </c>
      <c r="G85" s="22">
        <f t="shared" si="4"/>
        <v>34</v>
      </c>
      <c r="H85" s="23">
        <f t="shared" si="5"/>
        <v>1.3815459658842729E-2</v>
      </c>
      <c r="I85" s="24">
        <f t="shared" si="6"/>
        <v>4.9062647007919969E-3</v>
      </c>
    </row>
    <row r="86" spans="2:9" x14ac:dyDescent="0.2">
      <c r="B86" s="20">
        <f t="shared" si="7"/>
        <v>78</v>
      </c>
      <c r="C86" s="21">
        <v>1.8339999999999999E-2</v>
      </c>
      <c r="D86" s="16">
        <v>6.2361083792572547E-3</v>
      </c>
      <c r="E86" s="15">
        <v>7.5799999999999999E-3</v>
      </c>
      <c r="F86" s="16">
        <v>8.4715902602278126E-3</v>
      </c>
      <c r="G86" s="22">
        <f t="shared" si="4"/>
        <v>35</v>
      </c>
      <c r="H86" s="23">
        <f t="shared" si="5"/>
        <v>1.473369831415593E-2</v>
      </c>
      <c r="I86" s="24">
        <f t="shared" si="6"/>
        <v>5.6279455521847819E-3</v>
      </c>
    </row>
    <row r="87" spans="2:9" x14ac:dyDescent="0.2">
      <c r="B87" s="20">
        <f t="shared" si="7"/>
        <v>79</v>
      </c>
      <c r="C87" s="21">
        <v>1.9599999999999999E-2</v>
      </c>
      <c r="D87" s="16">
        <v>6.1282871313066423E-3</v>
      </c>
      <c r="E87" s="15">
        <v>8.7399999999999995E-3</v>
      </c>
      <c r="F87" s="16">
        <v>8.2324965388287374E-3</v>
      </c>
      <c r="G87" s="22">
        <f t="shared" si="4"/>
        <v>36</v>
      </c>
      <c r="H87" s="23">
        <f t="shared" si="5"/>
        <v>1.5708978826447284E-2</v>
      </c>
      <c r="I87" s="24">
        <f t="shared" si="6"/>
        <v>6.4903317419879748E-3</v>
      </c>
    </row>
    <row r="88" spans="2:9" x14ac:dyDescent="0.2">
      <c r="B88" s="20">
        <f t="shared" si="7"/>
        <v>80</v>
      </c>
      <c r="C88" s="21">
        <v>2.095E-2</v>
      </c>
      <c r="D88" s="16">
        <v>6.0356858500584254E-3</v>
      </c>
      <c r="E88" s="15">
        <v>1.014E-2</v>
      </c>
      <c r="F88" s="16">
        <v>7.9822648747353009E-3</v>
      </c>
      <c r="G88" s="22">
        <f t="shared" si="4"/>
        <v>37</v>
      </c>
      <c r="H88" s="23">
        <f t="shared" si="5"/>
        <v>1.6745701524693925E-2</v>
      </c>
      <c r="I88" s="24">
        <f t="shared" si="6"/>
        <v>7.5380168562954163E-3</v>
      </c>
    </row>
    <row r="89" spans="2:9" x14ac:dyDescent="0.2">
      <c r="B89" s="20">
        <f t="shared" si="7"/>
        <v>81</v>
      </c>
      <c r="C89" s="21">
        <v>2.2409999999999999E-2</v>
      </c>
      <c r="D89" s="16">
        <v>5.9652970296334429E-3</v>
      </c>
      <c r="E89" s="15">
        <v>1.1820000000000001E-2</v>
      </c>
      <c r="F89" s="16">
        <v>7.7161422141786007E-3</v>
      </c>
      <c r="G89" s="22">
        <f t="shared" si="4"/>
        <v>38</v>
      </c>
      <c r="H89" s="23">
        <f t="shared" si="5"/>
        <v>1.7852564889555708E-2</v>
      </c>
      <c r="I89" s="24">
        <f t="shared" si="6"/>
        <v>8.8060810971256741E-3</v>
      </c>
    </row>
    <row r="90" spans="2:9" x14ac:dyDescent="0.2">
      <c r="B90" s="20">
        <f t="shared" si="7"/>
        <v>82</v>
      </c>
      <c r="C90" s="21">
        <v>2.3970000000000002E-2</v>
      </c>
      <c r="D90" s="16">
        <v>5.9106639362084268E-3</v>
      </c>
      <c r="E90" s="15">
        <v>1.3849999999999999E-2</v>
      </c>
      <c r="F90" s="16">
        <v>7.443142263685254E-3</v>
      </c>
      <c r="G90" s="22">
        <f t="shared" si="4"/>
        <v>39</v>
      </c>
      <c r="H90" s="23">
        <f t="shared" si="5"/>
        <v>1.9022133220998997E-2</v>
      </c>
      <c r="I90" s="24">
        <f t="shared" si="6"/>
        <v>1.0349280356357645E-2</v>
      </c>
    </row>
    <row r="91" spans="2:9" x14ac:dyDescent="0.2">
      <c r="B91" s="20">
        <f t="shared" si="7"/>
        <v>83</v>
      </c>
      <c r="C91" s="21">
        <v>2.5659999999999999E-2</v>
      </c>
      <c r="D91" s="16">
        <v>5.8666655178276628E-3</v>
      </c>
      <c r="E91" s="15">
        <v>1.6310000000000002E-2</v>
      </c>
      <c r="F91" s="16">
        <v>7.1704010300369658E-3</v>
      </c>
      <c r="G91" s="22">
        <f t="shared" si="4"/>
        <v>40</v>
      </c>
      <c r="H91" s="23">
        <f t="shared" si="5"/>
        <v>2.0278793382594796E-2</v>
      </c>
      <c r="I91" s="24">
        <f t="shared" si="6"/>
        <v>1.2230454849630189E-2</v>
      </c>
    </row>
    <row r="92" spans="2:9" x14ac:dyDescent="0.2">
      <c r="B92" s="20">
        <f t="shared" si="7"/>
        <v>84</v>
      </c>
      <c r="C92" s="21">
        <v>2.7480000000000001E-2</v>
      </c>
      <c r="D92" s="16">
        <v>5.8409329032270696E-3</v>
      </c>
      <c r="E92" s="15">
        <v>1.9310000000000001E-2</v>
      </c>
      <c r="F92" s="16">
        <v>6.8945982167623043E-3</v>
      </c>
      <c r="G92" s="22">
        <f t="shared" si="4"/>
        <v>41</v>
      </c>
      <c r="H92" s="23">
        <f t="shared" si="5"/>
        <v>2.1612634943415129E-2</v>
      </c>
      <c r="I92" s="24">
        <f t="shared" si="6"/>
        <v>1.4540903218502802E-2</v>
      </c>
    </row>
    <row r="93" spans="2:9" x14ac:dyDescent="0.2">
      <c r="B93" s="20">
        <f t="shared" si="7"/>
        <v>85</v>
      </c>
      <c r="C93" s="21">
        <v>2.9440000000000001E-2</v>
      </c>
      <c r="D93" s="16">
        <v>5.8020568905313707E-3</v>
      </c>
      <c r="E93" s="15">
        <v>2.2970000000000001E-2</v>
      </c>
      <c r="F93" s="16">
        <v>6.6117984851864486E-3</v>
      </c>
      <c r="G93" s="22">
        <f t="shared" si="4"/>
        <v>42</v>
      </c>
      <c r="H93" s="23">
        <f t="shared" si="5"/>
        <v>2.305674189923412E-2</v>
      </c>
      <c r="I93" s="24">
        <f t="shared" si="6"/>
        <v>1.73843674523501E-2</v>
      </c>
    </row>
    <row r="94" spans="2:9" x14ac:dyDescent="0.2">
      <c r="B94" s="20">
        <f t="shared" si="7"/>
        <v>86</v>
      </c>
      <c r="C94" s="21">
        <v>3.1539999999999999E-2</v>
      </c>
      <c r="D94" s="16">
        <v>5.7489395131493648E-3</v>
      </c>
      <c r="E94" s="15">
        <v>2.7459999999999998E-2</v>
      </c>
      <c r="F94" s="16">
        <v>6.3232141712084022E-3</v>
      </c>
      <c r="G94" s="22">
        <f t="shared" si="4"/>
        <v>43</v>
      </c>
      <c r="H94" s="23">
        <f t="shared" si="5"/>
        <v>2.4614577917909428E-2</v>
      </c>
      <c r="I94" s="24">
        <f t="shared" si="6"/>
        <v>2.0904593397923554E-2</v>
      </c>
    </row>
    <row r="95" spans="2:9" x14ac:dyDescent="0.2">
      <c r="B95" s="20">
        <f t="shared" si="7"/>
        <v>87</v>
      </c>
      <c r="C95" s="21">
        <v>3.381E-2</v>
      </c>
      <c r="D95" s="16">
        <v>5.6768627644462333E-3</v>
      </c>
      <c r="E95" s="15">
        <v>3.3000000000000002E-2</v>
      </c>
      <c r="F95" s="16">
        <v>6.0338012641468763E-3</v>
      </c>
      <c r="G95" s="22">
        <f t="shared" si="4"/>
        <v>44</v>
      </c>
      <c r="H95" s="23">
        <f t="shared" si="5"/>
        <v>2.6318259383570707E-2</v>
      </c>
      <c r="I95" s="24">
        <f t="shared" si="6"/>
        <v>2.5285121018058847E-2</v>
      </c>
    </row>
    <row r="96" spans="2:9" x14ac:dyDescent="0.2">
      <c r="B96" s="20">
        <f t="shared" si="7"/>
        <v>88</v>
      </c>
      <c r="C96" s="21">
        <v>3.6260000000000001E-2</v>
      </c>
      <c r="D96" s="16">
        <v>5.5894212675823285E-3</v>
      </c>
      <c r="E96" s="15">
        <v>3.984E-2</v>
      </c>
      <c r="F96" s="16">
        <v>5.7401341066157796E-3</v>
      </c>
      <c r="G96" s="22">
        <f t="shared" si="4"/>
        <v>45</v>
      </c>
      <c r="H96" s="23">
        <f t="shared" si="5"/>
        <v>2.8176426291594232E-2</v>
      </c>
      <c r="I96" s="24">
        <f t="shared" si="6"/>
        <v>3.074788443492283E-2</v>
      </c>
    </row>
    <row r="97" spans="2:9" x14ac:dyDescent="0.2">
      <c r="B97" s="20">
        <f t="shared" si="7"/>
        <v>89</v>
      </c>
      <c r="C97" s="21">
        <v>3.8890000000000001E-2</v>
      </c>
      <c r="D97" s="16">
        <v>5.4828475763631923E-3</v>
      </c>
      <c r="E97" s="15">
        <v>4.8309999999999999E-2</v>
      </c>
      <c r="F97" s="16">
        <v>5.446290492845951E-3</v>
      </c>
      <c r="G97" s="22">
        <f t="shared" si="4"/>
        <v>46</v>
      </c>
      <c r="H97" s="23">
        <f t="shared" si="5"/>
        <v>3.0199706467758821E-2</v>
      </c>
      <c r="I97" s="24">
        <f t="shared" si="6"/>
        <v>3.7578215249075675E-2</v>
      </c>
    </row>
    <row r="98" spans="2:9" x14ac:dyDescent="0.2">
      <c r="B98" s="20">
        <f t="shared" si="7"/>
        <v>90</v>
      </c>
      <c r="C98" s="21">
        <v>4.5600000000000002E-2</v>
      </c>
      <c r="D98" s="16">
        <v>5.3573025863595802E-3</v>
      </c>
      <c r="E98" s="15">
        <v>6.5159999999999996E-2</v>
      </c>
      <c r="F98" s="16">
        <v>5.1524558730987602E-3</v>
      </c>
      <c r="G98" s="22">
        <f t="shared" si="4"/>
        <v>47</v>
      </c>
      <c r="H98" s="23">
        <f t="shared" si="5"/>
        <v>3.542570229149785E-2</v>
      </c>
      <c r="I98" s="24">
        <f t="shared" si="6"/>
        <v>5.1113790472466621E-2</v>
      </c>
    </row>
    <row r="99" spans="2:9" x14ac:dyDescent="0.2">
      <c r="B99" s="20">
        <f t="shared" si="7"/>
        <v>91</v>
      </c>
      <c r="C99" s="21">
        <v>5.2310000000000002E-2</v>
      </c>
      <c r="D99" s="16">
        <v>5.2155121307524421E-3</v>
      </c>
      <c r="E99" s="15">
        <v>8.2019999999999996E-2</v>
      </c>
      <c r="F99" s="16">
        <v>4.8562964162799371E-3</v>
      </c>
      <c r="G99" s="22">
        <f t="shared" si="4"/>
        <v>48</v>
      </c>
      <c r="H99" s="23">
        <f t="shared" si="5"/>
        <v>4.069836251797531E-2</v>
      </c>
      <c r="I99" s="24">
        <f t="shared" si="6"/>
        <v>6.492891434962314E-2</v>
      </c>
    </row>
    <row r="100" spans="2:9" x14ac:dyDescent="0.2">
      <c r="B100" s="20">
        <f t="shared" si="7"/>
        <v>92</v>
      </c>
      <c r="C100" s="21">
        <v>6.1100000000000002E-2</v>
      </c>
      <c r="D100" s="16">
        <v>5.0549018207489693E-3</v>
      </c>
      <c r="E100" s="15">
        <v>9.3549999999999994E-2</v>
      </c>
      <c r="F100" s="16">
        <v>4.5609213434963936E-3</v>
      </c>
      <c r="G100" s="22">
        <f t="shared" si="4"/>
        <v>49</v>
      </c>
      <c r="H100" s="23">
        <f t="shared" si="5"/>
        <v>4.7664816896584847E-2</v>
      </c>
      <c r="I100" s="24">
        <f t="shared" si="6"/>
        <v>7.4776203761599838E-2</v>
      </c>
    </row>
    <row r="101" spans="2:9" x14ac:dyDescent="0.2">
      <c r="B101" s="20">
        <f t="shared" si="7"/>
        <v>93</v>
      </c>
      <c r="C101" s="21">
        <v>7.1360000000000007E-2</v>
      </c>
      <c r="D101" s="16">
        <v>4.7898671344192012E-3</v>
      </c>
      <c r="E101" s="15">
        <v>0.10671</v>
      </c>
      <c r="F101" s="16">
        <v>4.353283792696061E-3</v>
      </c>
      <c r="G101" s="22">
        <f t="shared" si="4"/>
        <v>50</v>
      </c>
      <c r="H101" s="23">
        <f t="shared" si="5"/>
        <v>5.6129904228887126E-2</v>
      </c>
      <c r="I101" s="24">
        <f t="shared" si="6"/>
        <v>8.5796269669535283E-2</v>
      </c>
    </row>
    <row r="102" spans="2:9" x14ac:dyDescent="0.2">
      <c r="B102" s="20">
        <f t="shared" si="7"/>
        <v>94</v>
      </c>
      <c r="C102" s="21">
        <v>8.3349999999999994E-2</v>
      </c>
      <c r="D102" s="16">
        <v>4.5181462429175756E-3</v>
      </c>
      <c r="E102" s="15">
        <v>0.12173</v>
      </c>
      <c r="F102" s="16">
        <v>4.1355181775994954E-3</v>
      </c>
      <c r="G102" s="22">
        <f t="shared" si="4"/>
        <v>51</v>
      </c>
      <c r="H102" s="23">
        <f t="shared" si="5"/>
        <v>6.6161652621978193E-2</v>
      </c>
      <c r="I102" s="24">
        <f t="shared" si="6"/>
        <v>9.8539425820379833E-2</v>
      </c>
    </row>
    <row r="103" spans="2:9" x14ac:dyDescent="0.2">
      <c r="B103" s="20">
        <f t="shared" si="7"/>
        <v>95</v>
      </c>
      <c r="C103" s="21">
        <v>9.7350000000000006E-2</v>
      </c>
      <c r="D103" s="16">
        <v>4.2417861067552964E-3</v>
      </c>
      <c r="E103" s="15">
        <v>0.13885</v>
      </c>
      <c r="F103" s="16">
        <v>3.9064532882551184E-3</v>
      </c>
      <c r="G103" s="22">
        <f t="shared" si="4"/>
        <v>52</v>
      </c>
      <c r="H103" s="23">
        <f t="shared" si="5"/>
        <v>7.8043839654740391E-2</v>
      </c>
      <c r="I103" s="24">
        <f t="shared" si="6"/>
        <v>0.11327979685097805</v>
      </c>
    </row>
    <row r="104" spans="2:9" x14ac:dyDescent="0.2">
      <c r="B104" s="20">
        <f t="shared" si="7"/>
        <v>96</v>
      </c>
      <c r="C104" s="21">
        <v>0.11371000000000001</v>
      </c>
      <c r="D104" s="16">
        <v>3.9595638985930881E-3</v>
      </c>
      <c r="E104" s="15">
        <v>0.15837999999999999</v>
      </c>
      <c r="F104" s="16">
        <v>3.668385778671901E-3</v>
      </c>
      <c r="G104" s="22">
        <f t="shared" si="4"/>
        <v>53</v>
      </c>
      <c r="H104" s="23">
        <f t="shared" si="5"/>
        <v>9.2146333058599289E-2</v>
      </c>
      <c r="I104" s="24">
        <f t="shared" si="6"/>
        <v>0.13034897488769984</v>
      </c>
    </row>
    <row r="105" spans="2:9" x14ac:dyDescent="0.2">
      <c r="B105" s="20">
        <f t="shared" si="7"/>
        <v>97</v>
      </c>
      <c r="C105" s="21">
        <v>0.13281000000000001</v>
      </c>
      <c r="D105" s="16">
        <v>3.6721414414874198E-3</v>
      </c>
      <c r="E105" s="15">
        <v>0.18067</v>
      </c>
      <c r="F105" s="16">
        <v>3.4219010635158087E-3</v>
      </c>
      <c r="G105" s="22">
        <f t="shared" si="4"/>
        <v>54</v>
      </c>
      <c r="H105" s="23">
        <f t="shared" si="5"/>
        <v>0.10888136761085163</v>
      </c>
      <c r="I105" s="24">
        <f t="shared" si="6"/>
        <v>0.15014066604313042</v>
      </c>
    </row>
    <row r="106" spans="2:9" x14ac:dyDescent="0.2">
      <c r="B106" s="20">
        <f t="shared" si="7"/>
        <v>98</v>
      </c>
      <c r="C106" s="21">
        <v>0.15512000000000001</v>
      </c>
      <c r="D106" s="16">
        <v>3.3802876929325265E-3</v>
      </c>
      <c r="E106" s="15">
        <v>0.20608000000000001</v>
      </c>
      <c r="F106" s="16">
        <v>3.1676968507948766E-3</v>
      </c>
      <c r="G106" s="22">
        <f t="shared" si="4"/>
        <v>55</v>
      </c>
      <c r="H106" s="23">
        <f t="shared" si="5"/>
        <v>0.12876232375207683</v>
      </c>
      <c r="I106" s="24">
        <f t="shared" si="6"/>
        <v>0.17308184734449111</v>
      </c>
    </row>
    <row r="107" spans="2:9" x14ac:dyDescent="0.2">
      <c r="B107" s="20">
        <f t="shared" si="7"/>
        <v>99</v>
      </c>
      <c r="C107" s="21">
        <v>0.18118000000000001</v>
      </c>
      <c r="D107" s="16">
        <v>3.0848747810999777E-3</v>
      </c>
      <c r="E107" s="15">
        <v>0.23507</v>
      </c>
      <c r="F107" s="16">
        <v>2.9066092420252376E-3</v>
      </c>
      <c r="G107" s="22">
        <f t="shared" si="4"/>
        <v>56</v>
      </c>
      <c r="H107" s="23">
        <f t="shared" si="5"/>
        <v>0.15239426549550977</v>
      </c>
      <c r="I107" s="24">
        <f t="shared" si="6"/>
        <v>0.1997119764095561</v>
      </c>
    </row>
    <row r="108" spans="2:9" x14ac:dyDescent="0.2">
      <c r="B108" s="20">
        <f t="shared" si="7"/>
        <v>100</v>
      </c>
      <c r="C108" s="21">
        <v>0.21162</v>
      </c>
      <c r="D108" s="16">
        <v>0</v>
      </c>
      <c r="E108" s="15">
        <v>0.26813999999999999</v>
      </c>
      <c r="F108" s="16">
        <v>0</v>
      </c>
      <c r="G108" s="22">
        <f t="shared" si="4"/>
        <v>57</v>
      </c>
      <c r="H108" s="23">
        <f t="shared" si="5"/>
        <v>0.21162</v>
      </c>
      <c r="I108" s="24">
        <f t="shared" si="6"/>
        <v>0.26813999999999999</v>
      </c>
    </row>
    <row r="109" spans="2:9" x14ac:dyDescent="0.2">
      <c r="B109" s="20">
        <f t="shared" si="7"/>
        <v>101</v>
      </c>
      <c r="C109" s="21">
        <v>0.24718000000000001</v>
      </c>
      <c r="D109" s="16">
        <v>0</v>
      </c>
      <c r="E109" s="15">
        <v>0.30586000000000002</v>
      </c>
      <c r="F109" s="16">
        <v>0</v>
      </c>
      <c r="G109" s="22">
        <f t="shared" si="4"/>
        <v>58</v>
      </c>
      <c r="H109" s="23">
        <f t="shared" si="5"/>
        <v>0.24718000000000001</v>
      </c>
      <c r="I109" s="24">
        <f t="shared" si="6"/>
        <v>0.30586000000000002</v>
      </c>
    </row>
    <row r="110" spans="2:9" x14ac:dyDescent="0.2">
      <c r="B110" s="20">
        <f t="shared" si="7"/>
        <v>102</v>
      </c>
      <c r="C110" s="21">
        <v>0.28870000000000001</v>
      </c>
      <c r="D110" s="16">
        <v>0</v>
      </c>
      <c r="E110" s="15">
        <v>0.34888999999999998</v>
      </c>
      <c r="F110" s="16">
        <v>0</v>
      </c>
      <c r="G110" s="22">
        <f t="shared" si="4"/>
        <v>59</v>
      </c>
      <c r="H110" s="23">
        <f t="shared" si="5"/>
        <v>0.28870000000000001</v>
      </c>
      <c r="I110" s="24">
        <f t="shared" si="6"/>
        <v>0.34888999999999998</v>
      </c>
    </row>
    <row r="111" spans="2:9" x14ac:dyDescent="0.2">
      <c r="B111" s="20">
        <f t="shared" si="7"/>
        <v>103</v>
      </c>
      <c r="C111" s="21">
        <v>0.33721000000000001</v>
      </c>
      <c r="D111" s="16">
        <v>0</v>
      </c>
      <c r="E111" s="15">
        <v>0.39798</v>
      </c>
      <c r="F111" s="16">
        <v>0</v>
      </c>
      <c r="G111" s="22">
        <f t="shared" si="4"/>
        <v>60</v>
      </c>
      <c r="H111" s="23">
        <f t="shared" si="5"/>
        <v>0.33721000000000001</v>
      </c>
      <c r="I111" s="24">
        <f t="shared" si="6"/>
        <v>0.39798</v>
      </c>
    </row>
    <row r="112" spans="2:9" x14ac:dyDescent="0.2">
      <c r="B112" s="20">
        <f t="shared" si="7"/>
        <v>104</v>
      </c>
      <c r="C112" s="21">
        <v>0.39385999999999999</v>
      </c>
      <c r="D112" s="16">
        <v>0</v>
      </c>
      <c r="E112" s="15">
        <v>0.45395999999999997</v>
      </c>
      <c r="F112" s="16">
        <v>0</v>
      </c>
      <c r="G112" s="22">
        <f t="shared" si="4"/>
        <v>61</v>
      </c>
      <c r="H112" s="23">
        <f t="shared" si="5"/>
        <v>0.39385999999999999</v>
      </c>
      <c r="I112" s="24">
        <f t="shared" si="6"/>
        <v>0.45395999999999997</v>
      </c>
    </row>
    <row r="113" spans="2:9" x14ac:dyDescent="0.2">
      <c r="B113" s="20">
        <f t="shared" si="7"/>
        <v>105</v>
      </c>
      <c r="C113" s="21">
        <v>0.46002999999999999</v>
      </c>
      <c r="D113" s="16">
        <v>0</v>
      </c>
      <c r="E113" s="15">
        <v>0.51781999999999995</v>
      </c>
      <c r="F113" s="16">
        <v>0</v>
      </c>
      <c r="G113" s="22">
        <f t="shared" si="4"/>
        <v>62</v>
      </c>
      <c r="H113" s="23">
        <f t="shared" si="5"/>
        <v>0.46002999999999999</v>
      </c>
      <c r="I113" s="24">
        <f t="shared" si="6"/>
        <v>0.51781999999999995</v>
      </c>
    </row>
    <row r="114" spans="2:9" x14ac:dyDescent="0.2">
      <c r="B114" s="20">
        <f t="shared" si="7"/>
        <v>106</v>
      </c>
      <c r="C114" s="21">
        <v>0.53730999999999995</v>
      </c>
      <c r="D114" s="16">
        <v>0</v>
      </c>
      <c r="E114" s="15">
        <v>0.59067000000000003</v>
      </c>
      <c r="F114" s="16">
        <v>0</v>
      </c>
      <c r="G114" s="22">
        <f t="shared" si="4"/>
        <v>63</v>
      </c>
      <c r="H114" s="23">
        <f t="shared" si="5"/>
        <v>0.53730999999999995</v>
      </c>
      <c r="I114" s="24">
        <f t="shared" si="6"/>
        <v>0.59067000000000003</v>
      </c>
    </row>
    <row r="115" spans="2:9" x14ac:dyDescent="0.2">
      <c r="B115" s="20">
        <f t="shared" si="7"/>
        <v>107</v>
      </c>
      <c r="C115" s="21">
        <v>0.62758000000000003</v>
      </c>
      <c r="D115" s="16">
        <v>0</v>
      </c>
      <c r="E115" s="15">
        <v>0.67376999999999998</v>
      </c>
      <c r="F115" s="16">
        <v>0</v>
      </c>
      <c r="G115" s="22">
        <f t="shared" si="4"/>
        <v>64</v>
      </c>
      <c r="H115" s="23">
        <f t="shared" si="5"/>
        <v>0.62758000000000003</v>
      </c>
      <c r="I115" s="24">
        <f t="shared" si="6"/>
        <v>0.67376999999999998</v>
      </c>
    </row>
    <row r="116" spans="2:9" x14ac:dyDescent="0.2">
      <c r="B116" s="20">
        <f t="shared" si="7"/>
        <v>108</v>
      </c>
      <c r="C116" s="21">
        <v>0.73302</v>
      </c>
      <c r="D116" s="16">
        <v>0</v>
      </c>
      <c r="E116" s="15">
        <v>0.76854999999999996</v>
      </c>
      <c r="F116" s="16">
        <v>0</v>
      </c>
      <c r="G116" s="22">
        <f t="shared" si="4"/>
        <v>65</v>
      </c>
      <c r="H116" s="23">
        <f t="shared" si="5"/>
        <v>0.73302</v>
      </c>
      <c r="I116" s="24">
        <f t="shared" si="6"/>
        <v>0.76854999999999996</v>
      </c>
    </row>
    <row r="117" spans="2:9" x14ac:dyDescent="0.2">
      <c r="B117" s="20">
        <f t="shared" si="7"/>
        <v>109</v>
      </c>
      <c r="C117" s="21">
        <v>0.85616000000000003</v>
      </c>
      <c r="D117" s="16">
        <v>0</v>
      </c>
      <c r="E117" s="15">
        <v>0.87666999999999995</v>
      </c>
      <c r="F117" s="16">
        <v>0</v>
      </c>
      <c r="G117" s="22">
        <f t="shared" si="4"/>
        <v>66</v>
      </c>
      <c r="H117" s="23">
        <f t="shared" si="5"/>
        <v>0.85616000000000003</v>
      </c>
      <c r="I117" s="24">
        <f t="shared" si="6"/>
        <v>0.87666999999999995</v>
      </c>
    </row>
    <row r="118" spans="2:9" x14ac:dyDescent="0.2">
      <c r="B118" s="8">
        <f t="shared" si="7"/>
        <v>110</v>
      </c>
      <c r="C118" s="25">
        <v>1</v>
      </c>
      <c r="D118" s="26">
        <v>0</v>
      </c>
      <c r="E118" s="27">
        <v>1</v>
      </c>
      <c r="F118" s="26">
        <v>0</v>
      </c>
      <c r="G118" s="28">
        <f t="shared" si="4"/>
        <v>67</v>
      </c>
      <c r="H118" s="29">
        <f t="shared" si="5"/>
        <v>1</v>
      </c>
      <c r="I118" s="30">
        <f t="shared" si="6"/>
        <v>1</v>
      </c>
    </row>
  </sheetData>
  <mergeCells count="2">
    <mergeCell ref="B6:F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</vt:lpstr>
      <vt:lpstr>Pólizas</vt:lpstr>
      <vt:lpstr>Cálculo provisión</vt:lpstr>
      <vt:lpstr>Hip Actuarial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GASPAR ,MIGUEL</dc:creator>
  <cp:lastModifiedBy>Usuario de Microsoft Office</cp:lastModifiedBy>
  <dcterms:created xsi:type="dcterms:W3CDTF">2020-05-13T14:36:51Z</dcterms:created>
  <dcterms:modified xsi:type="dcterms:W3CDTF">2026-05-17T18:48:32Z</dcterms:modified>
</cp:coreProperties>
</file>