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cati/Downloads/GRF/GRF_1/"/>
    </mc:Choice>
  </mc:AlternateContent>
  <xr:revisionPtr revIDLastSave="0" documentId="13_ncr:1_{74B6652B-36D6-2040-8C35-CB414226E69C}" xr6:coauthVersionLast="36" xr6:coauthVersionMax="36" xr10:uidLastSave="{00000000-0000-0000-0000-000000000000}"/>
  <bookViews>
    <workbookView xWindow="1420" yWindow="500" windowWidth="28800" windowHeight="15920" tabRatio="672" xr2:uid="{00000000-000D-0000-FFFF-FFFF00000000}"/>
  </bookViews>
  <sheets>
    <sheet name="Instrucciones" sheetId="1" r:id="rId1"/>
    <sheet name="Datos acciones" sheetId="3" r:id="rId2"/>
    <sheet name="IBEX35" sheetId="2" r:id="rId3"/>
    <sheet name="SAN.MC" sheetId="4" r:id="rId4"/>
    <sheet name="TEF.MC" sheetId="5" r:id="rId5"/>
    <sheet name="ACS.MC" sheetId="6" r:id="rId6"/>
    <sheet name="IBE.MC" sheetId="7" r:id="rId7"/>
    <sheet name="IAG.MC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" i="1" l="1"/>
  <c r="L26" i="1"/>
  <c r="Q17" i="1"/>
  <c r="G12" i="1"/>
  <c r="C6" i="3"/>
  <c r="C2" i="3"/>
  <c r="C5" i="3"/>
  <c r="C3" i="3"/>
  <c r="C9" i="3"/>
  <c r="D2" i="3" l="1"/>
  <c r="E2" i="3"/>
  <c r="F2" i="3"/>
  <c r="G2" i="3"/>
  <c r="H2" i="3"/>
  <c r="J15" i="1"/>
  <c r="Q20" i="1" l="1"/>
  <c r="Q19" i="1"/>
  <c r="Q18" i="1"/>
  <c r="Q21" i="1"/>
  <c r="M27" i="1" l="1"/>
  <c r="M28" i="1"/>
  <c r="M30" i="1"/>
  <c r="M32" i="1"/>
  <c r="M33" i="1"/>
  <c r="M34" i="1"/>
  <c r="M36" i="1"/>
  <c r="M37" i="1"/>
  <c r="L37" i="1"/>
  <c r="L36" i="1"/>
  <c r="L35" i="1"/>
  <c r="M35" i="1" s="1"/>
  <c r="L34" i="1"/>
  <c r="L33" i="1"/>
  <c r="L32" i="1"/>
  <c r="L31" i="1"/>
  <c r="M31" i="1" s="1"/>
  <c r="L30" i="1"/>
  <c r="L29" i="1"/>
  <c r="M29" i="1" s="1"/>
  <c r="L28" i="1"/>
  <c r="L27" i="1"/>
  <c r="D15" i="3" l="1"/>
  <c r="H10" i="3"/>
  <c r="O10" i="3" s="1"/>
  <c r="H11" i="3"/>
  <c r="H12" i="3"/>
  <c r="O12" i="3" s="1"/>
  <c r="H13" i="3"/>
  <c r="H14" i="3"/>
  <c r="H15" i="3"/>
  <c r="H16" i="3"/>
  <c r="O16" i="3" s="1"/>
  <c r="H17" i="3"/>
  <c r="H18" i="3"/>
  <c r="H19" i="3"/>
  <c r="H20" i="3"/>
  <c r="O20" i="3" s="1"/>
  <c r="H21" i="3"/>
  <c r="H22" i="3"/>
  <c r="H23" i="3"/>
  <c r="H24" i="3"/>
  <c r="O24" i="3" s="1"/>
  <c r="H25" i="3"/>
  <c r="H26" i="3"/>
  <c r="H27" i="3"/>
  <c r="H28" i="3"/>
  <c r="O28" i="3" s="1"/>
  <c r="H29" i="3"/>
  <c r="H30" i="3"/>
  <c r="H31" i="3"/>
  <c r="H32" i="3"/>
  <c r="O32" i="3" s="1"/>
  <c r="H33" i="3"/>
  <c r="H34" i="3"/>
  <c r="H35" i="3"/>
  <c r="H36" i="3"/>
  <c r="O36" i="3" s="1"/>
  <c r="H37" i="3"/>
  <c r="H38" i="3"/>
  <c r="H39" i="3"/>
  <c r="H40" i="3"/>
  <c r="O40" i="3" s="1"/>
  <c r="H41" i="3"/>
  <c r="H42" i="3"/>
  <c r="H43" i="3"/>
  <c r="H44" i="3"/>
  <c r="O44" i="3" s="1"/>
  <c r="H45" i="3"/>
  <c r="H46" i="3"/>
  <c r="H47" i="3"/>
  <c r="H48" i="3"/>
  <c r="O48" i="3" s="1"/>
  <c r="H49" i="3"/>
  <c r="H50" i="3"/>
  <c r="H51" i="3"/>
  <c r="H52" i="3"/>
  <c r="O52" i="3" s="1"/>
  <c r="H53" i="3"/>
  <c r="H54" i="3"/>
  <c r="H55" i="3"/>
  <c r="H56" i="3"/>
  <c r="O56" i="3" s="1"/>
  <c r="H57" i="3"/>
  <c r="H58" i="3"/>
  <c r="H59" i="3"/>
  <c r="H60" i="3"/>
  <c r="O60" i="3" s="1"/>
  <c r="H61" i="3"/>
  <c r="H62" i="3"/>
  <c r="H63" i="3"/>
  <c r="H64" i="3"/>
  <c r="O64" i="3" s="1"/>
  <c r="H65" i="3"/>
  <c r="H66" i="3"/>
  <c r="H67" i="3"/>
  <c r="H68" i="3"/>
  <c r="O68" i="3" s="1"/>
  <c r="H69" i="3"/>
  <c r="H70" i="3"/>
  <c r="H71" i="3"/>
  <c r="H72" i="3"/>
  <c r="O72" i="3" s="1"/>
  <c r="H73" i="3"/>
  <c r="H74" i="3"/>
  <c r="H75" i="3"/>
  <c r="H76" i="3"/>
  <c r="O76" i="3" s="1"/>
  <c r="H77" i="3"/>
  <c r="H78" i="3"/>
  <c r="H79" i="3"/>
  <c r="H80" i="3"/>
  <c r="O80" i="3" s="1"/>
  <c r="H81" i="3"/>
  <c r="H82" i="3"/>
  <c r="H83" i="3"/>
  <c r="H84" i="3"/>
  <c r="O84" i="3" s="1"/>
  <c r="H85" i="3"/>
  <c r="H86" i="3"/>
  <c r="H87" i="3"/>
  <c r="H88" i="3"/>
  <c r="O88" i="3" s="1"/>
  <c r="H89" i="3"/>
  <c r="H90" i="3"/>
  <c r="H91" i="3"/>
  <c r="H92" i="3"/>
  <c r="O92" i="3" s="1"/>
  <c r="H93" i="3"/>
  <c r="H94" i="3"/>
  <c r="H95" i="3"/>
  <c r="H96" i="3"/>
  <c r="O96" i="3" s="1"/>
  <c r="H97" i="3"/>
  <c r="H98" i="3"/>
  <c r="H99" i="3"/>
  <c r="H100" i="3"/>
  <c r="O100" i="3" s="1"/>
  <c r="H101" i="3"/>
  <c r="H102" i="3"/>
  <c r="H103" i="3"/>
  <c r="H104" i="3"/>
  <c r="O104" i="3" s="1"/>
  <c r="H105" i="3"/>
  <c r="H106" i="3"/>
  <c r="H107" i="3"/>
  <c r="H108" i="3"/>
  <c r="O108" i="3" s="1"/>
  <c r="H109" i="3"/>
  <c r="H110" i="3"/>
  <c r="H111" i="3"/>
  <c r="H112" i="3"/>
  <c r="O112" i="3" s="1"/>
  <c r="H113" i="3"/>
  <c r="H114" i="3"/>
  <c r="H115" i="3"/>
  <c r="H116" i="3"/>
  <c r="O116" i="3" s="1"/>
  <c r="H117" i="3"/>
  <c r="H118" i="3"/>
  <c r="H119" i="3"/>
  <c r="H120" i="3"/>
  <c r="O120" i="3" s="1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O237" i="3" s="1"/>
  <c r="H238" i="3"/>
  <c r="H239" i="3"/>
  <c r="H240" i="3"/>
  <c r="H241" i="3"/>
  <c r="O241" i="3" s="1"/>
  <c r="H242" i="3"/>
  <c r="H243" i="3"/>
  <c r="H244" i="3"/>
  <c r="H245" i="3"/>
  <c r="O245" i="3" s="1"/>
  <c r="H246" i="3"/>
  <c r="H247" i="3"/>
  <c r="H248" i="3"/>
  <c r="H249" i="3"/>
  <c r="O249" i="3" s="1"/>
  <c r="H250" i="3"/>
  <c r="H251" i="3"/>
  <c r="H252" i="3"/>
  <c r="H253" i="3"/>
  <c r="H254" i="3"/>
  <c r="H255" i="3"/>
  <c r="H256" i="3"/>
  <c r="H257" i="3"/>
  <c r="O257" i="3" s="1"/>
  <c r="H258" i="3"/>
  <c r="H259" i="3"/>
  <c r="H260" i="3"/>
  <c r="H261" i="3"/>
  <c r="H262" i="3"/>
  <c r="H263" i="3"/>
  <c r="H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N134" i="3" s="1"/>
  <c r="G135" i="3"/>
  <c r="G136" i="3"/>
  <c r="G137" i="3"/>
  <c r="G138" i="3"/>
  <c r="N138" i="3" s="1"/>
  <c r="G139" i="3"/>
  <c r="G140" i="3"/>
  <c r="G141" i="3"/>
  <c r="G142" i="3"/>
  <c r="N142" i="3" s="1"/>
  <c r="G143" i="3"/>
  <c r="G144" i="3"/>
  <c r="G145" i="3"/>
  <c r="G146" i="3"/>
  <c r="N146" i="3" s="1"/>
  <c r="G147" i="3"/>
  <c r="G148" i="3"/>
  <c r="G149" i="3"/>
  <c r="G150" i="3"/>
  <c r="N150" i="3" s="1"/>
  <c r="G151" i="3"/>
  <c r="G152" i="3"/>
  <c r="G153" i="3"/>
  <c r="G154" i="3"/>
  <c r="N154" i="3" s="1"/>
  <c r="G155" i="3"/>
  <c r="G156" i="3"/>
  <c r="G157" i="3"/>
  <c r="G158" i="3"/>
  <c r="N158" i="3" s="1"/>
  <c r="G159" i="3"/>
  <c r="G160" i="3"/>
  <c r="G161" i="3"/>
  <c r="G162" i="3"/>
  <c r="N162" i="3" s="1"/>
  <c r="G163" i="3"/>
  <c r="G164" i="3"/>
  <c r="G165" i="3"/>
  <c r="G166" i="3"/>
  <c r="N166" i="3" s="1"/>
  <c r="G167" i="3"/>
  <c r="G168" i="3"/>
  <c r="G169" i="3"/>
  <c r="G170" i="3"/>
  <c r="N170" i="3" s="1"/>
  <c r="G171" i="3"/>
  <c r="G172" i="3"/>
  <c r="G173" i="3"/>
  <c r="G174" i="3"/>
  <c r="N174" i="3" s="1"/>
  <c r="G175" i="3"/>
  <c r="G176" i="3"/>
  <c r="G177" i="3"/>
  <c r="G178" i="3"/>
  <c r="N178" i="3" s="1"/>
  <c r="G179" i="3"/>
  <c r="G180" i="3"/>
  <c r="G181" i="3"/>
  <c r="G182" i="3"/>
  <c r="N182" i="3" s="1"/>
  <c r="G183" i="3"/>
  <c r="G184" i="3"/>
  <c r="G185" i="3"/>
  <c r="G186" i="3"/>
  <c r="N186" i="3" s="1"/>
  <c r="G187" i="3"/>
  <c r="G188" i="3"/>
  <c r="G189" i="3"/>
  <c r="G190" i="3"/>
  <c r="N190" i="3" s="1"/>
  <c r="G191" i="3"/>
  <c r="G192" i="3"/>
  <c r="G193" i="3"/>
  <c r="G194" i="3"/>
  <c r="N194" i="3" s="1"/>
  <c r="G195" i="3"/>
  <c r="G196" i="3"/>
  <c r="G197" i="3"/>
  <c r="G198" i="3"/>
  <c r="N198" i="3" s="1"/>
  <c r="G199" i="3"/>
  <c r="G200" i="3"/>
  <c r="G201" i="3"/>
  <c r="G202" i="3"/>
  <c r="N202" i="3" s="1"/>
  <c r="G203" i="3"/>
  <c r="G204" i="3"/>
  <c r="G205" i="3"/>
  <c r="G206" i="3"/>
  <c r="N206" i="3" s="1"/>
  <c r="G207" i="3"/>
  <c r="G208" i="3"/>
  <c r="G209" i="3"/>
  <c r="G210" i="3"/>
  <c r="N210" i="3" s="1"/>
  <c r="G211" i="3"/>
  <c r="G212" i="3"/>
  <c r="G213" i="3"/>
  <c r="G214" i="3"/>
  <c r="N214" i="3" s="1"/>
  <c r="G215" i="3"/>
  <c r="G216" i="3"/>
  <c r="G217" i="3"/>
  <c r="G218" i="3"/>
  <c r="N218" i="3" s="1"/>
  <c r="G219" i="3"/>
  <c r="G220" i="3"/>
  <c r="G221" i="3"/>
  <c r="G222" i="3"/>
  <c r="N222" i="3" s="1"/>
  <c r="G223" i="3"/>
  <c r="G224" i="3"/>
  <c r="G225" i="3"/>
  <c r="G226" i="3"/>
  <c r="N226" i="3" s="1"/>
  <c r="G227" i="3"/>
  <c r="G228" i="3"/>
  <c r="G229" i="3"/>
  <c r="G230" i="3"/>
  <c r="N230" i="3" s="1"/>
  <c r="G231" i="3"/>
  <c r="G232" i="3"/>
  <c r="G233" i="3"/>
  <c r="G234" i="3"/>
  <c r="N234" i="3" s="1"/>
  <c r="G235" i="3"/>
  <c r="G236" i="3"/>
  <c r="G237" i="3"/>
  <c r="G238" i="3"/>
  <c r="N238" i="3" s="1"/>
  <c r="G239" i="3"/>
  <c r="G240" i="3"/>
  <c r="G241" i="3"/>
  <c r="G242" i="3"/>
  <c r="N242" i="3" s="1"/>
  <c r="G243" i="3"/>
  <c r="G244" i="3"/>
  <c r="G245" i="3"/>
  <c r="G246" i="3"/>
  <c r="N246" i="3" s="1"/>
  <c r="G247" i="3"/>
  <c r="G248" i="3"/>
  <c r="G249" i="3"/>
  <c r="G250" i="3"/>
  <c r="N250" i="3" s="1"/>
  <c r="G251" i="3"/>
  <c r="G252" i="3"/>
  <c r="G253" i="3"/>
  <c r="G254" i="3"/>
  <c r="N254" i="3" s="1"/>
  <c r="G255" i="3"/>
  <c r="G256" i="3"/>
  <c r="G257" i="3"/>
  <c r="G258" i="3"/>
  <c r="N258" i="3" s="1"/>
  <c r="G259" i="3"/>
  <c r="G260" i="3"/>
  <c r="G261" i="3"/>
  <c r="G262" i="3"/>
  <c r="N262" i="3" s="1"/>
  <c r="G263" i="3"/>
  <c r="G9" i="3"/>
  <c r="F10" i="3"/>
  <c r="F11" i="3"/>
  <c r="M11" i="3" s="1"/>
  <c r="F12" i="3"/>
  <c r="F13" i="3"/>
  <c r="F14" i="3"/>
  <c r="F15" i="3"/>
  <c r="M15" i="3" s="1"/>
  <c r="F16" i="3"/>
  <c r="F17" i="3"/>
  <c r="F18" i="3"/>
  <c r="F19" i="3"/>
  <c r="M19" i="3" s="1"/>
  <c r="F20" i="3"/>
  <c r="F21" i="3"/>
  <c r="F22" i="3"/>
  <c r="F23" i="3"/>
  <c r="M23" i="3" s="1"/>
  <c r="F24" i="3"/>
  <c r="F25" i="3"/>
  <c r="F26" i="3"/>
  <c r="F27" i="3"/>
  <c r="M27" i="3" s="1"/>
  <c r="F28" i="3"/>
  <c r="F29" i="3"/>
  <c r="F30" i="3"/>
  <c r="F31" i="3"/>
  <c r="M31" i="3" s="1"/>
  <c r="F32" i="3"/>
  <c r="F33" i="3"/>
  <c r="F34" i="3"/>
  <c r="F35" i="3"/>
  <c r="M35" i="3" s="1"/>
  <c r="F36" i="3"/>
  <c r="F37" i="3"/>
  <c r="F38" i="3"/>
  <c r="F39" i="3"/>
  <c r="M39" i="3" s="1"/>
  <c r="F40" i="3"/>
  <c r="F41" i="3"/>
  <c r="F42" i="3"/>
  <c r="M42" i="3" s="1"/>
  <c r="F43" i="3"/>
  <c r="M43" i="3" s="1"/>
  <c r="F44" i="3"/>
  <c r="F45" i="3"/>
  <c r="F46" i="3"/>
  <c r="M46" i="3" s="1"/>
  <c r="F47" i="3"/>
  <c r="M47" i="3" s="1"/>
  <c r="F48" i="3"/>
  <c r="F49" i="3"/>
  <c r="F50" i="3"/>
  <c r="M50" i="3" s="1"/>
  <c r="F51" i="3"/>
  <c r="M51" i="3" s="1"/>
  <c r="F52" i="3"/>
  <c r="F53" i="3"/>
  <c r="F54" i="3"/>
  <c r="M54" i="3" s="1"/>
  <c r="F55" i="3"/>
  <c r="M55" i="3" s="1"/>
  <c r="F56" i="3"/>
  <c r="F57" i="3"/>
  <c r="F58" i="3"/>
  <c r="M58" i="3" s="1"/>
  <c r="F59" i="3"/>
  <c r="F60" i="3"/>
  <c r="F61" i="3"/>
  <c r="F62" i="3"/>
  <c r="M62" i="3" s="1"/>
  <c r="F63" i="3"/>
  <c r="F64" i="3"/>
  <c r="F65" i="3"/>
  <c r="F66" i="3"/>
  <c r="M66" i="3" s="1"/>
  <c r="F67" i="3"/>
  <c r="F68" i="3"/>
  <c r="F69" i="3"/>
  <c r="F70" i="3"/>
  <c r="M70" i="3" s="1"/>
  <c r="F71" i="3"/>
  <c r="F72" i="3"/>
  <c r="F73" i="3"/>
  <c r="F74" i="3"/>
  <c r="M74" i="3" s="1"/>
  <c r="F75" i="3"/>
  <c r="F76" i="3"/>
  <c r="F77" i="3"/>
  <c r="F78" i="3"/>
  <c r="M78" i="3" s="1"/>
  <c r="F79" i="3"/>
  <c r="M79" i="3" s="1"/>
  <c r="F80" i="3"/>
  <c r="F81" i="3"/>
  <c r="F82" i="3"/>
  <c r="M82" i="3" s="1"/>
  <c r="F83" i="3"/>
  <c r="M83" i="3" s="1"/>
  <c r="F84" i="3"/>
  <c r="F85" i="3"/>
  <c r="F86" i="3"/>
  <c r="M86" i="3" s="1"/>
  <c r="F87" i="3"/>
  <c r="M87" i="3" s="1"/>
  <c r="F88" i="3"/>
  <c r="F89" i="3"/>
  <c r="F90" i="3"/>
  <c r="M90" i="3" s="1"/>
  <c r="F91" i="3"/>
  <c r="M91" i="3" s="1"/>
  <c r="F92" i="3"/>
  <c r="F93" i="3"/>
  <c r="F94" i="3"/>
  <c r="M94" i="3" s="1"/>
  <c r="F95" i="3"/>
  <c r="M95" i="3" s="1"/>
  <c r="F96" i="3"/>
  <c r="F97" i="3"/>
  <c r="F98" i="3"/>
  <c r="M98" i="3" s="1"/>
  <c r="F99" i="3"/>
  <c r="M99" i="3" s="1"/>
  <c r="F100" i="3"/>
  <c r="F101" i="3"/>
  <c r="F102" i="3"/>
  <c r="M102" i="3" s="1"/>
  <c r="F103" i="3"/>
  <c r="M103" i="3" s="1"/>
  <c r="F104" i="3"/>
  <c r="F105" i="3"/>
  <c r="F106" i="3"/>
  <c r="M106" i="3" s="1"/>
  <c r="F107" i="3"/>
  <c r="M107" i="3" s="1"/>
  <c r="F108" i="3"/>
  <c r="F109" i="3"/>
  <c r="F110" i="3"/>
  <c r="M110" i="3" s="1"/>
  <c r="F111" i="3"/>
  <c r="M111" i="3" s="1"/>
  <c r="F112" i="3"/>
  <c r="F113" i="3"/>
  <c r="F114" i="3"/>
  <c r="M114" i="3" s="1"/>
  <c r="F115" i="3"/>
  <c r="M115" i="3" s="1"/>
  <c r="F116" i="3"/>
  <c r="F117" i="3"/>
  <c r="F118" i="3"/>
  <c r="M118" i="3" s="1"/>
  <c r="F119" i="3"/>
  <c r="M119" i="3" s="1"/>
  <c r="F120" i="3"/>
  <c r="F121" i="3"/>
  <c r="F122" i="3"/>
  <c r="M122" i="3" s="1"/>
  <c r="F123" i="3"/>
  <c r="M123" i="3" s="1"/>
  <c r="F124" i="3"/>
  <c r="F125" i="3"/>
  <c r="F126" i="3"/>
  <c r="M126" i="3" s="1"/>
  <c r="F127" i="3"/>
  <c r="M127" i="3" s="1"/>
  <c r="F128" i="3"/>
  <c r="F129" i="3"/>
  <c r="F130" i="3"/>
  <c r="M130" i="3" s="1"/>
  <c r="F131" i="3"/>
  <c r="M131" i="3" s="1"/>
  <c r="F132" i="3"/>
  <c r="F133" i="3"/>
  <c r="F134" i="3"/>
  <c r="M134" i="3" s="1"/>
  <c r="F135" i="3"/>
  <c r="M135" i="3" s="1"/>
  <c r="F136" i="3"/>
  <c r="F137" i="3"/>
  <c r="F138" i="3"/>
  <c r="M138" i="3" s="1"/>
  <c r="F139" i="3"/>
  <c r="M139" i="3" s="1"/>
  <c r="F140" i="3"/>
  <c r="F141" i="3"/>
  <c r="F142" i="3"/>
  <c r="M142" i="3" s="1"/>
  <c r="F143" i="3"/>
  <c r="M143" i="3" s="1"/>
  <c r="F144" i="3"/>
  <c r="F145" i="3"/>
  <c r="F146" i="3"/>
  <c r="M146" i="3" s="1"/>
  <c r="F147" i="3"/>
  <c r="M147" i="3" s="1"/>
  <c r="F148" i="3"/>
  <c r="F149" i="3"/>
  <c r="F150" i="3"/>
  <c r="M150" i="3" s="1"/>
  <c r="F151" i="3"/>
  <c r="M151" i="3" s="1"/>
  <c r="F152" i="3"/>
  <c r="F153" i="3"/>
  <c r="F154" i="3"/>
  <c r="M154" i="3" s="1"/>
  <c r="F155" i="3"/>
  <c r="M155" i="3" s="1"/>
  <c r="F156" i="3"/>
  <c r="F157" i="3"/>
  <c r="F158" i="3"/>
  <c r="M158" i="3" s="1"/>
  <c r="F159" i="3"/>
  <c r="M159" i="3" s="1"/>
  <c r="F160" i="3"/>
  <c r="F161" i="3"/>
  <c r="F162" i="3"/>
  <c r="M162" i="3" s="1"/>
  <c r="F163" i="3"/>
  <c r="M163" i="3" s="1"/>
  <c r="F164" i="3"/>
  <c r="F165" i="3"/>
  <c r="F166" i="3"/>
  <c r="M166" i="3" s="1"/>
  <c r="F167" i="3"/>
  <c r="M167" i="3" s="1"/>
  <c r="F168" i="3"/>
  <c r="F169" i="3"/>
  <c r="F170" i="3"/>
  <c r="M170" i="3" s="1"/>
  <c r="F171" i="3"/>
  <c r="M171" i="3" s="1"/>
  <c r="F172" i="3"/>
  <c r="F173" i="3"/>
  <c r="F174" i="3"/>
  <c r="M174" i="3" s="1"/>
  <c r="F175" i="3"/>
  <c r="M175" i="3" s="1"/>
  <c r="F176" i="3"/>
  <c r="F177" i="3"/>
  <c r="F178" i="3"/>
  <c r="M178" i="3" s="1"/>
  <c r="F179" i="3"/>
  <c r="M179" i="3" s="1"/>
  <c r="F180" i="3"/>
  <c r="F181" i="3"/>
  <c r="F182" i="3"/>
  <c r="M182" i="3" s="1"/>
  <c r="F183" i="3"/>
  <c r="M183" i="3" s="1"/>
  <c r="F184" i="3"/>
  <c r="F185" i="3"/>
  <c r="F186" i="3"/>
  <c r="M186" i="3" s="1"/>
  <c r="F187" i="3"/>
  <c r="M187" i="3" s="1"/>
  <c r="F188" i="3"/>
  <c r="F189" i="3"/>
  <c r="F190" i="3"/>
  <c r="M190" i="3" s="1"/>
  <c r="F191" i="3"/>
  <c r="M191" i="3" s="1"/>
  <c r="F192" i="3"/>
  <c r="F193" i="3"/>
  <c r="F194" i="3"/>
  <c r="M194" i="3" s="1"/>
  <c r="F195" i="3"/>
  <c r="M195" i="3" s="1"/>
  <c r="F196" i="3"/>
  <c r="F197" i="3"/>
  <c r="F198" i="3"/>
  <c r="M198" i="3" s="1"/>
  <c r="F199" i="3"/>
  <c r="M199" i="3" s="1"/>
  <c r="F200" i="3"/>
  <c r="F201" i="3"/>
  <c r="F202" i="3"/>
  <c r="M202" i="3" s="1"/>
  <c r="F203" i="3"/>
  <c r="M203" i="3" s="1"/>
  <c r="F204" i="3"/>
  <c r="F205" i="3"/>
  <c r="F206" i="3"/>
  <c r="M206" i="3" s="1"/>
  <c r="F207" i="3"/>
  <c r="M207" i="3" s="1"/>
  <c r="F208" i="3"/>
  <c r="F209" i="3"/>
  <c r="F210" i="3"/>
  <c r="M210" i="3" s="1"/>
  <c r="F211" i="3"/>
  <c r="M211" i="3" s="1"/>
  <c r="F212" i="3"/>
  <c r="F213" i="3"/>
  <c r="F214" i="3"/>
  <c r="M214" i="3" s="1"/>
  <c r="F215" i="3"/>
  <c r="M215" i="3" s="1"/>
  <c r="F216" i="3"/>
  <c r="F217" i="3"/>
  <c r="F218" i="3"/>
  <c r="M218" i="3" s="1"/>
  <c r="F219" i="3"/>
  <c r="M219" i="3" s="1"/>
  <c r="F220" i="3"/>
  <c r="F221" i="3"/>
  <c r="F222" i="3"/>
  <c r="M222" i="3" s="1"/>
  <c r="F223" i="3"/>
  <c r="M223" i="3" s="1"/>
  <c r="F224" i="3"/>
  <c r="F225" i="3"/>
  <c r="F226" i="3"/>
  <c r="M226" i="3" s="1"/>
  <c r="F227" i="3"/>
  <c r="M227" i="3" s="1"/>
  <c r="F228" i="3"/>
  <c r="F229" i="3"/>
  <c r="F230" i="3"/>
  <c r="M230" i="3" s="1"/>
  <c r="F231" i="3"/>
  <c r="M231" i="3" s="1"/>
  <c r="F232" i="3"/>
  <c r="F233" i="3"/>
  <c r="F234" i="3"/>
  <c r="M234" i="3" s="1"/>
  <c r="F235" i="3"/>
  <c r="M235" i="3" s="1"/>
  <c r="F236" i="3"/>
  <c r="F237" i="3"/>
  <c r="F238" i="3"/>
  <c r="M238" i="3" s="1"/>
  <c r="F239" i="3"/>
  <c r="M239" i="3" s="1"/>
  <c r="F240" i="3"/>
  <c r="F241" i="3"/>
  <c r="F242" i="3"/>
  <c r="M242" i="3" s="1"/>
  <c r="F243" i="3"/>
  <c r="M243" i="3" s="1"/>
  <c r="F244" i="3"/>
  <c r="F245" i="3"/>
  <c r="F246" i="3"/>
  <c r="M246" i="3" s="1"/>
  <c r="F247" i="3"/>
  <c r="M247" i="3" s="1"/>
  <c r="F248" i="3"/>
  <c r="F249" i="3"/>
  <c r="F250" i="3"/>
  <c r="M250" i="3" s="1"/>
  <c r="F251" i="3"/>
  <c r="M251" i="3" s="1"/>
  <c r="F252" i="3"/>
  <c r="F253" i="3"/>
  <c r="F254" i="3"/>
  <c r="M254" i="3" s="1"/>
  <c r="F255" i="3"/>
  <c r="M255" i="3" s="1"/>
  <c r="F256" i="3"/>
  <c r="F257" i="3"/>
  <c r="F258" i="3"/>
  <c r="M258" i="3" s="1"/>
  <c r="F259" i="3"/>
  <c r="M259" i="3" s="1"/>
  <c r="F260" i="3"/>
  <c r="F261" i="3"/>
  <c r="F262" i="3"/>
  <c r="M262" i="3" s="1"/>
  <c r="F263" i="3"/>
  <c r="F9" i="3"/>
  <c r="E10" i="3"/>
  <c r="E11" i="3"/>
  <c r="L11" i="3" s="1"/>
  <c r="E12" i="3"/>
  <c r="L12" i="3" s="1"/>
  <c r="E13" i="3"/>
  <c r="E14" i="3"/>
  <c r="E15" i="3"/>
  <c r="L15" i="3" s="1"/>
  <c r="E16" i="3"/>
  <c r="L16" i="3" s="1"/>
  <c r="E17" i="3"/>
  <c r="E18" i="3"/>
  <c r="E19" i="3"/>
  <c r="L19" i="3" s="1"/>
  <c r="E20" i="3"/>
  <c r="L20" i="3" s="1"/>
  <c r="E21" i="3"/>
  <c r="E22" i="3"/>
  <c r="E23" i="3"/>
  <c r="L23" i="3" s="1"/>
  <c r="E24" i="3"/>
  <c r="L24" i="3" s="1"/>
  <c r="E25" i="3"/>
  <c r="E26" i="3"/>
  <c r="E27" i="3"/>
  <c r="L27" i="3" s="1"/>
  <c r="E28" i="3"/>
  <c r="L28" i="3" s="1"/>
  <c r="E29" i="3"/>
  <c r="E30" i="3"/>
  <c r="E31" i="3"/>
  <c r="L31" i="3" s="1"/>
  <c r="E32" i="3"/>
  <c r="L32" i="3" s="1"/>
  <c r="E33" i="3"/>
  <c r="E34" i="3"/>
  <c r="E35" i="3"/>
  <c r="L35" i="3" s="1"/>
  <c r="E36" i="3"/>
  <c r="L36" i="3" s="1"/>
  <c r="E37" i="3"/>
  <c r="E38" i="3"/>
  <c r="E39" i="3"/>
  <c r="L39" i="3" s="1"/>
  <c r="E40" i="3"/>
  <c r="L40" i="3" s="1"/>
  <c r="E41" i="3"/>
  <c r="E42" i="3"/>
  <c r="E43" i="3"/>
  <c r="L43" i="3" s="1"/>
  <c r="E44" i="3"/>
  <c r="L44" i="3" s="1"/>
  <c r="E45" i="3"/>
  <c r="E46" i="3"/>
  <c r="E47" i="3"/>
  <c r="L47" i="3" s="1"/>
  <c r="E48" i="3"/>
  <c r="L48" i="3" s="1"/>
  <c r="E49" i="3"/>
  <c r="E50" i="3"/>
  <c r="E51" i="3"/>
  <c r="L51" i="3" s="1"/>
  <c r="E52" i="3"/>
  <c r="L52" i="3" s="1"/>
  <c r="E53" i="3"/>
  <c r="E54" i="3"/>
  <c r="E55" i="3"/>
  <c r="L55" i="3" s="1"/>
  <c r="E56" i="3"/>
  <c r="L56" i="3" s="1"/>
  <c r="E57" i="3"/>
  <c r="E58" i="3"/>
  <c r="E59" i="3"/>
  <c r="E60" i="3"/>
  <c r="L60" i="3" s="1"/>
  <c r="E61" i="3"/>
  <c r="E62" i="3"/>
  <c r="E63" i="3"/>
  <c r="E64" i="3"/>
  <c r="L64" i="3" s="1"/>
  <c r="E65" i="3"/>
  <c r="E66" i="3"/>
  <c r="E67" i="3"/>
  <c r="E68" i="3"/>
  <c r="L68" i="3" s="1"/>
  <c r="E69" i="3"/>
  <c r="E70" i="3"/>
  <c r="E71" i="3"/>
  <c r="E72" i="3"/>
  <c r="L72" i="3" s="1"/>
  <c r="E73" i="3"/>
  <c r="E74" i="3"/>
  <c r="E75" i="3"/>
  <c r="E76" i="3"/>
  <c r="L76" i="3" s="1"/>
  <c r="E77" i="3"/>
  <c r="E78" i="3"/>
  <c r="E79" i="3"/>
  <c r="E80" i="3"/>
  <c r="L80" i="3" s="1"/>
  <c r="E81" i="3"/>
  <c r="E82" i="3"/>
  <c r="E83" i="3"/>
  <c r="E84" i="3"/>
  <c r="L84" i="3" s="1"/>
  <c r="E85" i="3"/>
  <c r="E86" i="3"/>
  <c r="E87" i="3"/>
  <c r="E88" i="3"/>
  <c r="L88" i="3" s="1"/>
  <c r="E89" i="3"/>
  <c r="E90" i="3"/>
  <c r="E91" i="3"/>
  <c r="E92" i="3"/>
  <c r="L92" i="3" s="1"/>
  <c r="E93" i="3"/>
  <c r="E94" i="3"/>
  <c r="E95" i="3"/>
  <c r="E96" i="3"/>
  <c r="L96" i="3" s="1"/>
  <c r="E97" i="3"/>
  <c r="E98" i="3"/>
  <c r="E99" i="3"/>
  <c r="E100" i="3"/>
  <c r="L100" i="3" s="1"/>
  <c r="E101" i="3"/>
  <c r="E102" i="3"/>
  <c r="E103" i="3"/>
  <c r="E104" i="3"/>
  <c r="L104" i="3" s="1"/>
  <c r="E105" i="3"/>
  <c r="E106" i="3"/>
  <c r="E107" i="3"/>
  <c r="E108" i="3"/>
  <c r="L108" i="3" s="1"/>
  <c r="E109" i="3"/>
  <c r="E110" i="3"/>
  <c r="E111" i="3"/>
  <c r="E112" i="3"/>
  <c r="L112" i="3" s="1"/>
  <c r="E113" i="3"/>
  <c r="E114" i="3"/>
  <c r="E115" i="3"/>
  <c r="E116" i="3"/>
  <c r="L116" i="3" s="1"/>
  <c r="E117" i="3"/>
  <c r="E118" i="3"/>
  <c r="E119" i="3"/>
  <c r="E120" i="3"/>
  <c r="L120" i="3" s="1"/>
  <c r="E121" i="3"/>
  <c r="E122" i="3"/>
  <c r="E123" i="3"/>
  <c r="E124" i="3"/>
  <c r="L124" i="3" s="1"/>
  <c r="E125" i="3"/>
  <c r="E126" i="3"/>
  <c r="E127" i="3"/>
  <c r="E128" i="3"/>
  <c r="L128" i="3" s="1"/>
  <c r="E129" i="3"/>
  <c r="E130" i="3"/>
  <c r="E131" i="3"/>
  <c r="E132" i="3"/>
  <c r="L132" i="3" s="1"/>
  <c r="E133" i="3"/>
  <c r="E134" i="3"/>
  <c r="E135" i="3"/>
  <c r="E136" i="3"/>
  <c r="L136" i="3" s="1"/>
  <c r="E137" i="3"/>
  <c r="E138" i="3"/>
  <c r="E139" i="3"/>
  <c r="E140" i="3"/>
  <c r="L140" i="3" s="1"/>
  <c r="E141" i="3"/>
  <c r="E142" i="3"/>
  <c r="E143" i="3"/>
  <c r="E144" i="3"/>
  <c r="L144" i="3" s="1"/>
  <c r="E145" i="3"/>
  <c r="E146" i="3"/>
  <c r="E147" i="3"/>
  <c r="E148" i="3"/>
  <c r="L148" i="3" s="1"/>
  <c r="E149" i="3"/>
  <c r="E150" i="3"/>
  <c r="E151" i="3"/>
  <c r="E152" i="3"/>
  <c r="L152" i="3" s="1"/>
  <c r="E153" i="3"/>
  <c r="E154" i="3"/>
  <c r="E155" i="3"/>
  <c r="E156" i="3"/>
  <c r="L156" i="3" s="1"/>
  <c r="E157" i="3"/>
  <c r="E158" i="3"/>
  <c r="E159" i="3"/>
  <c r="E160" i="3"/>
  <c r="L160" i="3" s="1"/>
  <c r="E161" i="3"/>
  <c r="E162" i="3"/>
  <c r="E163" i="3"/>
  <c r="E164" i="3"/>
  <c r="L164" i="3" s="1"/>
  <c r="E165" i="3"/>
  <c r="E166" i="3"/>
  <c r="E167" i="3"/>
  <c r="E168" i="3"/>
  <c r="L168" i="3" s="1"/>
  <c r="E169" i="3"/>
  <c r="E170" i="3"/>
  <c r="E171" i="3"/>
  <c r="E172" i="3"/>
  <c r="L172" i="3" s="1"/>
  <c r="E173" i="3"/>
  <c r="E174" i="3"/>
  <c r="E175" i="3"/>
  <c r="E176" i="3"/>
  <c r="L176" i="3" s="1"/>
  <c r="E177" i="3"/>
  <c r="E178" i="3"/>
  <c r="E179" i="3"/>
  <c r="E180" i="3"/>
  <c r="L180" i="3" s="1"/>
  <c r="E181" i="3"/>
  <c r="E182" i="3"/>
  <c r="E183" i="3"/>
  <c r="E184" i="3"/>
  <c r="L184" i="3" s="1"/>
  <c r="E185" i="3"/>
  <c r="E186" i="3"/>
  <c r="E187" i="3"/>
  <c r="E188" i="3"/>
  <c r="L188" i="3" s="1"/>
  <c r="E189" i="3"/>
  <c r="E190" i="3"/>
  <c r="E191" i="3"/>
  <c r="E192" i="3"/>
  <c r="L192" i="3" s="1"/>
  <c r="E193" i="3"/>
  <c r="E194" i="3"/>
  <c r="E195" i="3"/>
  <c r="E196" i="3"/>
  <c r="L196" i="3" s="1"/>
  <c r="E197" i="3"/>
  <c r="E198" i="3"/>
  <c r="E199" i="3"/>
  <c r="E200" i="3"/>
  <c r="L200" i="3" s="1"/>
  <c r="E201" i="3"/>
  <c r="E202" i="3"/>
  <c r="E203" i="3"/>
  <c r="E204" i="3"/>
  <c r="L204" i="3" s="1"/>
  <c r="E205" i="3"/>
  <c r="E206" i="3"/>
  <c r="E207" i="3"/>
  <c r="E208" i="3"/>
  <c r="L208" i="3" s="1"/>
  <c r="E209" i="3"/>
  <c r="E210" i="3"/>
  <c r="E211" i="3"/>
  <c r="E212" i="3"/>
  <c r="L212" i="3" s="1"/>
  <c r="E213" i="3"/>
  <c r="E214" i="3"/>
  <c r="E215" i="3"/>
  <c r="E216" i="3"/>
  <c r="L216" i="3" s="1"/>
  <c r="E217" i="3"/>
  <c r="E218" i="3"/>
  <c r="E219" i="3"/>
  <c r="E220" i="3"/>
  <c r="L220" i="3" s="1"/>
  <c r="E221" i="3"/>
  <c r="E222" i="3"/>
  <c r="E223" i="3"/>
  <c r="E224" i="3"/>
  <c r="L224" i="3" s="1"/>
  <c r="E225" i="3"/>
  <c r="E226" i="3"/>
  <c r="E227" i="3"/>
  <c r="E228" i="3"/>
  <c r="L228" i="3" s="1"/>
  <c r="E229" i="3"/>
  <c r="E230" i="3"/>
  <c r="E231" i="3"/>
  <c r="E232" i="3"/>
  <c r="L232" i="3" s="1"/>
  <c r="E233" i="3"/>
  <c r="E234" i="3"/>
  <c r="E235" i="3"/>
  <c r="E236" i="3"/>
  <c r="L236" i="3" s="1"/>
  <c r="E237" i="3"/>
  <c r="E238" i="3"/>
  <c r="E239" i="3"/>
  <c r="E240" i="3"/>
  <c r="L240" i="3" s="1"/>
  <c r="E241" i="3"/>
  <c r="E242" i="3"/>
  <c r="E243" i="3"/>
  <c r="E244" i="3"/>
  <c r="L244" i="3" s="1"/>
  <c r="E245" i="3"/>
  <c r="E246" i="3"/>
  <c r="E247" i="3"/>
  <c r="E248" i="3"/>
  <c r="L248" i="3" s="1"/>
  <c r="E249" i="3"/>
  <c r="E250" i="3"/>
  <c r="E251" i="3"/>
  <c r="E252" i="3"/>
  <c r="L252" i="3" s="1"/>
  <c r="E253" i="3"/>
  <c r="E254" i="3"/>
  <c r="E255" i="3"/>
  <c r="E256" i="3"/>
  <c r="L256" i="3" s="1"/>
  <c r="E257" i="3"/>
  <c r="E258" i="3"/>
  <c r="E259" i="3"/>
  <c r="E260" i="3"/>
  <c r="L260" i="3" s="1"/>
  <c r="E261" i="3"/>
  <c r="E262" i="3"/>
  <c r="E263" i="3"/>
  <c r="E9" i="3"/>
  <c r="D9" i="3"/>
  <c r="D10" i="3"/>
  <c r="D11" i="3"/>
  <c r="D12" i="3"/>
  <c r="K12" i="3" s="1"/>
  <c r="D13" i="3"/>
  <c r="D14" i="3"/>
  <c r="D16" i="3"/>
  <c r="D17" i="3"/>
  <c r="K17" i="3" s="1"/>
  <c r="D18" i="3"/>
  <c r="D19" i="3"/>
  <c r="D20" i="3"/>
  <c r="D21" i="3"/>
  <c r="K21" i="3" s="1"/>
  <c r="D22" i="3"/>
  <c r="D23" i="3"/>
  <c r="D24" i="3"/>
  <c r="D25" i="3"/>
  <c r="K25" i="3" s="1"/>
  <c r="D26" i="3"/>
  <c r="D27" i="3"/>
  <c r="D28" i="3"/>
  <c r="D29" i="3"/>
  <c r="K29" i="3" s="1"/>
  <c r="D30" i="3"/>
  <c r="D31" i="3"/>
  <c r="D32" i="3"/>
  <c r="D33" i="3"/>
  <c r="K33" i="3" s="1"/>
  <c r="D34" i="3"/>
  <c r="D35" i="3"/>
  <c r="D36" i="3"/>
  <c r="D37" i="3"/>
  <c r="K37" i="3" s="1"/>
  <c r="D38" i="3"/>
  <c r="D39" i="3"/>
  <c r="D40" i="3"/>
  <c r="D41" i="3"/>
  <c r="K41" i="3" s="1"/>
  <c r="D42" i="3"/>
  <c r="D43" i="3"/>
  <c r="D44" i="3"/>
  <c r="D45" i="3"/>
  <c r="K45" i="3" s="1"/>
  <c r="D46" i="3"/>
  <c r="D47" i="3"/>
  <c r="D48" i="3"/>
  <c r="D49" i="3"/>
  <c r="K49" i="3" s="1"/>
  <c r="D50" i="3"/>
  <c r="D51" i="3"/>
  <c r="D52" i="3"/>
  <c r="D53" i="3"/>
  <c r="K53" i="3" s="1"/>
  <c r="D54" i="3"/>
  <c r="D55" i="3"/>
  <c r="D56" i="3"/>
  <c r="D57" i="3"/>
  <c r="K57" i="3" s="1"/>
  <c r="D58" i="3"/>
  <c r="D59" i="3"/>
  <c r="D60" i="3"/>
  <c r="D61" i="3"/>
  <c r="K61" i="3" s="1"/>
  <c r="D62" i="3"/>
  <c r="D63" i="3"/>
  <c r="D64" i="3"/>
  <c r="D65" i="3"/>
  <c r="K65" i="3" s="1"/>
  <c r="D66" i="3"/>
  <c r="D67" i="3"/>
  <c r="D68" i="3"/>
  <c r="D69" i="3"/>
  <c r="K69" i="3" s="1"/>
  <c r="D70" i="3"/>
  <c r="D71" i="3"/>
  <c r="D72" i="3"/>
  <c r="D73" i="3"/>
  <c r="K73" i="3" s="1"/>
  <c r="D74" i="3"/>
  <c r="D75" i="3"/>
  <c r="D76" i="3"/>
  <c r="D77" i="3"/>
  <c r="K77" i="3" s="1"/>
  <c r="D78" i="3"/>
  <c r="D79" i="3"/>
  <c r="D80" i="3"/>
  <c r="D81" i="3"/>
  <c r="K81" i="3" s="1"/>
  <c r="D82" i="3"/>
  <c r="D83" i="3"/>
  <c r="D84" i="3"/>
  <c r="D85" i="3"/>
  <c r="K85" i="3" s="1"/>
  <c r="D86" i="3"/>
  <c r="D87" i="3"/>
  <c r="D88" i="3"/>
  <c r="D89" i="3"/>
  <c r="K89" i="3" s="1"/>
  <c r="D90" i="3"/>
  <c r="D91" i="3"/>
  <c r="D92" i="3"/>
  <c r="D93" i="3"/>
  <c r="K93" i="3" s="1"/>
  <c r="D94" i="3"/>
  <c r="D95" i="3"/>
  <c r="D96" i="3"/>
  <c r="D97" i="3"/>
  <c r="K97" i="3" s="1"/>
  <c r="D98" i="3"/>
  <c r="D99" i="3"/>
  <c r="D100" i="3"/>
  <c r="D101" i="3"/>
  <c r="K101" i="3" s="1"/>
  <c r="D102" i="3"/>
  <c r="D103" i="3"/>
  <c r="D104" i="3"/>
  <c r="D105" i="3"/>
  <c r="K105" i="3" s="1"/>
  <c r="D106" i="3"/>
  <c r="D107" i="3"/>
  <c r="D108" i="3"/>
  <c r="D109" i="3"/>
  <c r="K109" i="3" s="1"/>
  <c r="D110" i="3"/>
  <c r="D111" i="3"/>
  <c r="D112" i="3"/>
  <c r="D113" i="3"/>
  <c r="K113" i="3" s="1"/>
  <c r="D114" i="3"/>
  <c r="D115" i="3"/>
  <c r="D116" i="3"/>
  <c r="D117" i="3"/>
  <c r="K117" i="3" s="1"/>
  <c r="D118" i="3"/>
  <c r="D119" i="3"/>
  <c r="D120" i="3"/>
  <c r="D121" i="3"/>
  <c r="K121" i="3" s="1"/>
  <c r="D122" i="3"/>
  <c r="D123" i="3"/>
  <c r="D124" i="3"/>
  <c r="D125" i="3"/>
  <c r="K125" i="3" s="1"/>
  <c r="D126" i="3"/>
  <c r="D127" i="3"/>
  <c r="D128" i="3"/>
  <c r="D129" i="3"/>
  <c r="K129" i="3" s="1"/>
  <c r="D130" i="3"/>
  <c r="D131" i="3"/>
  <c r="D132" i="3"/>
  <c r="D133" i="3"/>
  <c r="K133" i="3" s="1"/>
  <c r="D134" i="3"/>
  <c r="D135" i="3"/>
  <c r="D136" i="3"/>
  <c r="D137" i="3"/>
  <c r="K137" i="3" s="1"/>
  <c r="D138" i="3"/>
  <c r="D139" i="3"/>
  <c r="D140" i="3"/>
  <c r="D141" i="3"/>
  <c r="K141" i="3" s="1"/>
  <c r="D142" i="3"/>
  <c r="D143" i="3"/>
  <c r="D144" i="3"/>
  <c r="D145" i="3"/>
  <c r="K145" i="3" s="1"/>
  <c r="D146" i="3"/>
  <c r="D147" i="3"/>
  <c r="D148" i="3"/>
  <c r="D149" i="3"/>
  <c r="K149" i="3" s="1"/>
  <c r="D150" i="3"/>
  <c r="D151" i="3"/>
  <c r="D152" i="3"/>
  <c r="D153" i="3"/>
  <c r="K153" i="3" s="1"/>
  <c r="D154" i="3"/>
  <c r="D155" i="3"/>
  <c r="D156" i="3"/>
  <c r="D157" i="3"/>
  <c r="K157" i="3" s="1"/>
  <c r="D158" i="3"/>
  <c r="D159" i="3"/>
  <c r="D160" i="3"/>
  <c r="D161" i="3"/>
  <c r="K161" i="3" s="1"/>
  <c r="D162" i="3"/>
  <c r="D163" i="3"/>
  <c r="D164" i="3"/>
  <c r="D165" i="3"/>
  <c r="K165" i="3" s="1"/>
  <c r="D166" i="3"/>
  <c r="D167" i="3"/>
  <c r="D168" i="3"/>
  <c r="D169" i="3"/>
  <c r="K169" i="3" s="1"/>
  <c r="D170" i="3"/>
  <c r="D171" i="3"/>
  <c r="D172" i="3"/>
  <c r="D173" i="3"/>
  <c r="K173" i="3" s="1"/>
  <c r="D174" i="3"/>
  <c r="D175" i="3"/>
  <c r="D176" i="3"/>
  <c r="D177" i="3"/>
  <c r="K177" i="3" s="1"/>
  <c r="D178" i="3"/>
  <c r="D179" i="3"/>
  <c r="D180" i="3"/>
  <c r="D181" i="3"/>
  <c r="K181" i="3" s="1"/>
  <c r="D182" i="3"/>
  <c r="D183" i="3"/>
  <c r="D184" i="3"/>
  <c r="D185" i="3"/>
  <c r="K185" i="3" s="1"/>
  <c r="D186" i="3"/>
  <c r="D187" i="3"/>
  <c r="D188" i="3"/>
  <c r="D189" i="3"/>
  <c r="K189" i="3" s="1"/>
  <c r="D190" i="3"/>
  <c r="D191" i="3"/>
  <c r="D192" i="3"/>
  <c r="D193" i="3"/>
  <c r="K193" i="3" s="1"/>
  <c r="D194" i="3"/>
  <c r="D195" i="3"/>
  <c r="D196" i="3"/>
  <c r="D197" i="3"/>
  <c r="K197" i="3" s="1"/>
  <c r="D198" i="3"/>
  <c r="D199" i="3"/>
  <c r="D200" i="3"/>
  <c r="D201" i="3"/>
  <c r="K201" i="3" s="1"/>
  <c r="D202" i="3"/>
  <c r="D203" i="3"/>
  <c r="D204" i="3"/>
  <c r="D205" i="3"/>
  <c r="K205" i="3" s="1"/>
  <c r="D206" i="3"/>
  <c r="D207" i="3"/>
  <c r="D208" i="3"/>
  <c r="D209" i="3"/>
  <c r="K209" i="3" s="1"/>
  <c r="D210" i="3"/>
  <c r="D211" i="3"/>
  <c r="D212" i="3"/>
  <c r="D213" i="3"/>
  <c r="K213" i="3" s="1"/>
  <c r="D214" i="3"/>
  <c r="D215" i="3"/>
  <c r="D216" i="3"/>
  <c r="D217" i="3"/>
  <c r="K217" i="3" s="1"/>
  <c r="D218" i="3"/>
  <c r="D219" i="3"/>
  <c r="D220" i="3"/>
  <c r="D221" i="3"/>
  <c r="K221" i="3" s="1"/>
  <c r="D222" i="3"/>
  <c r="D223" i="3"/>
  <c r="D224" i="3"/>
  <c r="D225" i="3"/>
  <c r="K225" i="3" s="1"/>
  <c r="D226" i="3"/>
  <c r="D227" i="3"/>
  <c r="D228" i="3"/>
  <c r="D229" i="3"/>
  <c r="K229" i="3" s="1"/>
  <c r="D230" i="3"/>
  <c r="D231" i="3"/>
  <c r="D232" i="3"/>
  <c r="D233" i="3"/>
  <c r="K233" i="3" s="1"/>
  <c r="D234" i="3"/>
  <c r="D235" i="3"/>
  <c r="D236" i="3"/>
  <c r="D237" i="3"/>
  <c r="K237" i="3" s="1"/>
  <c r="D238" i="3"/>
  <c r="D239" i="3"/>
  <c r="D240" i="3"/>
  <c r="D241" i="3"/>
  <c r="K241" i="3" s="1"/>
  <c r="D242" i="3"/>
  <c r="D243" i="3"/>
  <c r="D244" i="3"/>
  <c r="D245" i="3"/>
  <c r="K245" i="3" s="1"/>
  <c r="D246" i="3"/>
  <c r="D247" i="3"/>
  <c r="D248" i="3"/>
  <c r="D249" i="3"/>
  <c r="K249" i="3" s="1"/>
  <c r="D250" i="3"/>
  <c r="D251" i="3"/>
  <c r="D252" i="3"/>
  <c r="D253" i="3"/>
  <c r="K253" i="3" s="1"/>
  <c r="D254" i="3"/>
  <c r="D255" i="3"/>
  <c r="D256" i="3"/>
  <c r="D257" i="3"/>
  <c r="K257" i="3" s="1"/>
  <c r="D258" i="3"/>
  <c r="D259" i="3"/>
  <c r="D260" i="3"/>
  <c r="D261" i="3"/>
  <c r="K261" i="3" s="1"/>
  <c r="D262" i="3"/>
  <c r="D263" i="3"/>
  <c r="C10" i="3"/>
  <c r="C11" i="3"/>
  <c r="J11" i="3" s="1"/>
  <c r="C12" i="3"/>
  <c r="C13" i="3"/>
  <c r="C14" i="3"/>
  <c r="C15" i="3"/>
  <c r="J15" i="3" s="1"/>
  <c r="C16" i="3"/>
  <c r="C17" i="3"/>
  <c r="C18" i="3"/>
  <c r="C19" i="3"/>
  <c r="J19" i="3" s="1"/>
  <c r="C20" i="3"/>
  <c r="C21" i="3"/>
  <c r="C22" i="3"/>
  <c r="C23" i="3"/>
  <c r="J23" i="3" s="1"/>
  <c r="C24" i="3"/>
  <c r="C25" i="3"/>
  <c r="C26" i="3"/>
  <c r="C27" i="3"/>
  <c r="J27" i="3" s="1"/>
  <c r="C28" i="3"/>
  <c r="C29" i="3"/>
  <c r="C30" i="3"/>
  <c r="C31" i="3"/>
  <c r="J31" i="3" s="1"/>
  <c r="C32" i="3"/>
  <c r="C33" i="3"/>
  <c r="C34" i="3"/>
  <c r="C35" i="3"/>
  <c r="J35" i="3" s="1"/>
  <c r="C36" i="3"/>
  <c r="C37" i="3"/>
  <c r="C38" i="3"/>
  <c r="C39" i="3"/>
  <c r="J39" i="3" s="1"/>
  <c r="C40" i="3"/>
  <c r="C41" i="3"/>
  <c r="C42" i="3"/>
  <c r="C43" i="3"/>
  <c r="J43" i="3" s="1"/>
  <c r="C44" i="3"/>
  <c r="C45" i="3"/>
  <c r="C46" i="3"/>
  <c r="C47" i="3"/>
  <c r="J47" i="3" s="1"/>
  <c r="C48" i="3"/>
  <c r="C49" i="3"/>
  <c r="C50" i="3"/>
  <c r="C51" i="3"/>
  <c r="J51" i="3" s="1"/>
  <c r="C52" i="3"/>
  <c r="C53" i="3"/>
  <c r="C54" i="3"/>
  <c r="C55" i="3"/>
  <c r="J55" i="3" s="1"/>
  <c r="C56" i="3"/>
  <c r="C57" i="3"/>
  <c r="C58" i="3"/>
  <c r="C59" i="3"/>
  <c r="J59" i="3" s="1"/>
  <c r="C60" i="3"/>
  <c r="C61" i="3"/>
  <c r="C62" i="3"/>
  <c r="C63" i="3"/>
  <c r="J63" i="3" s="1"/>
  <c r="C64" i="3"/>
  <c r="C65" i="3"/>
  <c r="C66" i="3"/>
  <c r="C67" i="3"/>
  <c r="J67" i="3" s="1"/>
  <c r="C68" i="3"/>
  <c r="C69" i="3"/>
  <c r="C70" i="3"/>
  <c r="C71" i="3"/>
  <c r="J71" i="3" s="1"/>
  <c r="C72" i="3"/>
  <c r="C73" i="3"/>
  <c r="C74" i="3"/>
  <c r="C75" i="3"/>
  <c r="J75" i="3" s="1"/>
  <c r="C76" i="3"/>
  <c r="C77" i="3"/>
  <c r="C78" i="3"/>
  <c r="C79" i="3"/>
  <c r="J79" i="3" s="1"/>
  <c r="C80" i="3"/>
  <c r="C81" i="3"/>
  <c r="C82" i="3"/>
  <c r="C83" i="3"/>
  <c r="J83" i="3" s="1"/>
  <c r="C84" i="3"/>
  <c r="C85" i="3"/>
  <c r="C86" i="3"/>
  <c r="C87" i="3"/>
  <c r="J87" i="3" s="1"/>
  <c r="C88" i="3"/>
  <c r="C89" i="3"/>
  <c r="C90" i="3"/>
  <c r="C91" i="3"/>
  <c r="J91" i="3" s="1"/>
  <c r="C92" i="3"/>
  <c r="C93" i="3"/>
  <c r="C94" i="3"/>
  <c r="C95" i="3"/>
  <c r="J95" i="3" s="1"/>
  <c r="C96" i="3"/>
  <c r="C97" i="3"/>
  <c r="C98" i="3"/>
  <c r="C99" i="3"/>
  <c r="J99" i="3" s="1"/>
  <c r="C100" i="3"/>
  <c r="C101" i="3"/>
  <c r="C102" i="3"/>
  <c r="C103" i="3"/>
  <c r="J103" i="3" s="1"/>
  <c r="C104" i="3"/>
  <c r="C105" i="3"/>
  <c r="C106" i="3"/>
  <c r="C107" i="3"/>
  <c r="J107" i="3" s="1"/>
  <c r="C108" i="3"/>
  <c r="C109" i="3"/>
  <c r="C110" i="3"/>
  <c r="C111" i="3"/>
  <c r="J111" i="3" s="1"/>
  <c r="C112" i="3"/>
  <c r="C113" i="3"/>
  <c r="C114" i="3"/>
  <c r="C115" i="3"/>
  <c r="J115" i="3" s="1"/>
  <c r="C116" i="3"/>
  <c r="C117" i="3"/>
  <c r="C118" i="3"/>
  <c r="C119" i="3"/>
  <c r="J119" i="3" s="1"/>
  <c r="C120" i="3"/>
  <c r="C121" i="3"/>
  <c r="C122" i="3"/>
  <c r="C123" i="3"/>
  <c r="J123" i="3" s="1"/>
  <c r="C124" i="3"/>
  <c r="C125" i="3"/>
  <c r="C126" i="3"/>
  <c r="C127" i="3"/>
  <c r="J127" i="3" s="1"/>
  <c r="C128" i="3"/>
  <c r="C129" i="3"/>
  <c r="C130" i="3"/>
  <c r="C131" i="3"/>
  <c r="J131" i="3" s="1"/>
  <c r="C132" i="3"/>
  <c r="C133" i="3"/>
  <c r="C134" i="3"/>
  <c r="C135" i="3"/>
  <c r="J135" i="3" s="1"/>
  <c r="C136" i="3"/>
  <c r="C137" i="3"/>
  <c r="C138" i="3"/>
  <c r="C139" i="3"/>
  <c r="J139" i="3" s="1"/>
  <c r="C140" i="3"/>
  <c r="C141" i="3"/>
  <c r="C142" i="3"/>
  <c r="C143" i="3"/>
  <c r="J143" i="3" s="1"/>
  <c r="C144" i="3"/>
  <c r="C145" i="3"/>
  <c r="C146" i="3"/>
  <c r="C147" i="3"/>
  <c r="J147" i="3" s="1"/>
  <c r="C148" i="3"/>
  <c r="C149" i="3"/>
  <c r="C150" i="3"/>
  <c r="C151" i="3"/>
  <c r="J151" i="3" s="1"/>
  <c r="C152" i="3"/>
  <c r="C153" i="3"/>
  <c r="C154" i="3"/>
  <c r="C155" i="3"/>
  <c r="J155" i="3" s="1"/>
  <c r="C156" i="3"/>
  <c r="C157" i="3"/>
  <c r="C158" i="3"/>
  <c r="C159" i="3"/>
  <c r="J159" i="3" s="1"/>
  <c r="C160" i="3"/>
  <c r="C161" i="3"/>
  <c r="C162" i="3"/>
  <c r="C163" i="3"/>
  <c r="J163" i="3" s="1"/>
  <c r="C164" i="3"/>
  <c r="C165" i="3"/>
  <c r="C166" i="3"/>
  <c r="C167" i="3"/>
  <c r="J167" i="3" s="1"/>
  <c r="C168" i="3"/>
  <c r="C169" i="3"/>
  <c r="C170" i="3"/>
  <c r="C171" i="3"/>
  <c r="J171" i="3" s="1"/>
  <c r="C172" i="3"/>
  <c r="C173" i="3"/>
  <c r="C174" i="3"/>
  <c r="C175" i="3"/>
  <c r="J175" i="3" s="1"/>
  <c r="C176" i="3"/>
  <c r="C177" i="3"/>
  <c r="C178" i="3"/>
  <c r="C179" i="3"/>
  <c r="J179" i="3" s="1"/>
  <c r="C180" i="3"/>
  <c r="C181" i="3"/>
  <c r="C182" i="3"/>
  <c r="C183" i="3"/>
  <c r="J183" i="3" s="1"/>
  <c r="C184" i="3"/>
  <c r="C185" i="3"/>
  <c r="C186" i="3"/>
  <c r="C187" i="3"/>
  <c r="J187" i="3" s="1"/>
  <c r="C188" i="3"/>
  <c r="C189" i="3"/>
  <c r="C190" i="3"/>
  <c r="C191" i="3"/>
  <c r="J191" i="3" s="1"/>
  <c r="C192" i="3"/>
  <c r="C193" i="3"/>
  <c r="C194" i="3"/>
  <c r="C195" i="3"/>
  <c r="J195" i="3" s="1"/>
  <c r="C196" i="3"/>
  <c r="C197" i="3"/>
  <c r="C198" i="3"/>
  <c r="C199" i="3"/>
  <c r="J199" i="3" s="1"/>
  <c r="C200" i="3"/>
  <c r="C201" i="3"/>
  <c r="C202" i="3"/>
  <c r="C203" i="3"/>
  <c r="J203" i="3" s="1"/>
  <c r="C204" i="3"/>
  <c r="C205" i="3"/>
  <c r="C206" i="3"/>
  <c r="C207" i="3"/>
  <c r="J207" i="3" s="1"/>
  <c r="C208" i="3"/>
  <c r="C209" i="3"/>
  <c r="C210" i="3"/>
  <c r="C211" i="3"/>
  <c r="J211" i="3" s="1"/>
  <c r="C212" i="3"/>
  <c r="C213" i="3"/>
  <c r="C214" i="3"/>
  <c r="C215" i="3"/>
  <c r="J215" i="3" s="1"/>
  <c r="C216" i="3"/>
  <c r="C217" i="3"/>
  <c r="C218" i="3"/>
  <c r="C219" i="3"/>
  <c r="J219" i="3" s="1"/>
  <c r="C220" i="3"/>
  <c r="C221" i="3"/>
  <c r="C222" i="3"/>
  <c r="C223" i="3"/>
  <c r="J223" i="3" s="1"/>
  <c r="C224" i="3"/>
  <c r="C225" i="3"/>
  <c r="C226" i="3"/>
  <c r="C227" i="3"/>
  <c r="J227" i="3" s="1"/>
  <c r="C228" i="3"/>
  <c r="C229" i="3"/>
  <c r="C230" i="3"/>
  <c r="C231" i="3"/>
  <c r="J231" i="3" s="1"/>
  <c r="C232" i="3"/>
  <c r="C233" i="3"/>
  <c r="C234" i="3"/>
  <c r="C235" i="3"/>
  <c r="J235" i="3" s="1"/>
  <c r="C236" i="3"/>
  <c r="C237" i="3"/>
  <c r="C238" i="3"/>
  <c r="C239" i="3"/>
  <c r="J239" i="3" s="1"/>
  <c r="C240" i="3"/>
  <c r="C241" i="3"/>
  <c r="C242" i="3"/>
  <c r="C243" i="3"/>
  <c r="J243" i="3" s="1"/>
  <c r="C244" i="3"/>
  <c r="C245" i="3"/>
  <c r="C246" i="3"/>
  <c r="C247" i="3"/>
  <c r="J247" i="3" s="1"/>
  <c r="C248" i="3"/>
  <c r="C249" i="3"/>
  <c r="C250" i="3"/>
  <c r="C251" i="3"/>
  <c r="J251" i="3" s="1"/>
  <c r="C252" i="3"/>
  <c r="C253" i="3"/>
  <c r="C254" i="3"/>
  <c r="C255" i="3"/>
  <c r="J255" i="3" s="1"/>
  <c r="C256" i="3"/>
  <c r="C257" i="3"/>
  <c r="C258" i="3"/>
  <c r="C259" i="3"/>
  <c r="J259" i="3" s="1"/>
  <c r="C260" i="3"/>
  <c r="C261" i="3"/>
  <c r="C262" i="3"/>
  <c r="C263" i="3"/>
  <c r="J238" i="3" l="1"/>
  <c r="J226" i="3"/>
  <c r="J218" i="3"/>
  <c r="J202" i="3"/>
  <c r="J190" i="3"/>
  <c r="J178" i="3"/>
  <c r="J170" i="3"/>
  <c r="J158" i="3"/>
  <c r="J146" i="3"/>
  <c r="J134" i="3"/>
  <c r="J118" i="3"/>
  <c r="J110" i="3"/>
  <c r="J98" i="3"/>
  <c r="J82" i="3"/>
  <c r="J70" i="3"/>
  <c r="J62" i="3"/>
  <c r="J50" i="3"/>
  <c r="J34" i="3"/>
  <c r="J22" i="3"/>
  <c r="K252" i="3"/>
  <c r="K240" i="3"/>
  <c r="K232" i="3"/>
  <c r="K216" i="3"/>
  <c r="K204" i="3"/>
  <c r="K192" i="3"/>
  <c r="K180" i="3"/>
  <c r="K172" i="3"/>
  <c r="K160" i="3"/>
  <c r="K156" i="3"/>
  <c r="K144" i="3"/>
  <c r="L9" i="3"/>
  <c r="J234" i="3"/>
  <c r="J222" i="3"/>
  <c r="J210" i="3"/>
  <c r="J198" i="3"/>
  <c r="J186" i="3"/>
  <c r="J174" i="3"/>
  <c r="J162" i="3"/>
  <c r="J150" i="3"/>
  <c r="J138" i="3"/>
  <c r="J126" i="3"/>
  <c r="J114" i="3"/>
  <c r="J102" i="3"/>
  <c r="J90" i="3"/>
  <c r="J78" i="3"/>
  <c r="J66" i="3"/>
  <c r="J54" i="3"/>
  <c r="J38" i="3"/>
  <c r="J26" i="3"/>
  <c r="J18" i="3"/>
  <c r="K260" i="3"/>
  <c r="K248" i="3"/>
  <c r="K236" i="3"/>
  <c r="K224" i="3"/>
  <c r="K212" i="3"/>
  <c r="K200" i="3"/>
  <c r="K188" i="3"/>
  <c r="K168" i="3"/>
  <c r="K152" i="3"/>
  <c r="J230" i="3"/>
  <c r="J214" i="3"/>
  <c r="J206" i="3"/>
  <c r="J194" i="3"/>
  <c r="J182" i="3"/>
  <c r="J166" i="3"/>
  <c r="J154" i="3"/>
  <c r="J142" i="3"/>
  <c r="J130" i="3"/>
  <c r="J122" i="3"/>
  <c r="J106" i="3"/>
  <c r="J94" i="3"/>
  <c r="J86" i="3"/>
  <c r="J74" i="3"/>
  <c r="J58" i="3"/>
  <c r="J46" i="3"/>
  <c r="J42" i="3"/>
  <c r="J30" i="3"/>
  <c r="J14" i="3"/>
  <c r="K256" i="3"/>
  <c r="K244" i="3"/>
  <c r="K228" i="3"/>
  <c r="K220" i="3"/>
  <c r="K208" i="3"/>
  <c r="K196" i="3"/>
  <c r="K184" i="3"/>
  <c r="K176" i="3"/>
  <c r="K164" i="3"/>
  <c r="K148" i="3"/>
  <c r="K140" i="3"/>
  <c r="K136" i="3"/>
  <c r="K132" i="3"/>
  <c r="K128" i="3"/>
  <c r="K124" i="3"/>
  <c r="K120" i="3"/>
  <c r="K116" i="3"/>
  <c r="K112" i="3"/>
  <c r="K108" i="3"/>
  <c r="K104" i="3"/>
  <c r="K100" i="3"/>
  <c r="K96" i="3"/>
  <c r="K92" i="3"/>
  <c r="K88" i="3"/>
  <c r="K84" i="3"/>
  <c r="K80" i="3"/>
  <c r="K76" i="3"/>
  <c r="K72" i="3"/>
  <c r="K68" i="3"/>
  <c r="K64" i="3"/>
  <c r="K60" i="3"/>
  <c r="K56" i="3"/>
  <c r="K52" i="3"/>
  <c r="K48" i="3"/>
  <c r="K44" i="3"/>
  <c r="K40" i="3"/>
  <c r="K36" i="3"/>
  <c r="K32" i="3"/>
  <c r="K28" i="3"/>
  <c r="K24" i="3"/>
  <c r="K20" i="3"/>
  <c r="K16" i="3"/>
  <c r="K11" i="3"/>
  <c r="L259" i="3"/>
  <c r="L255" i="3"/>
  <c r="L251" i="3"/>
  <c r="L247" i="3"/>
  <c r="L243" i="3"/>
  <c r="L239" i="3"/>
  <c r="L235" i="3"/>
  <c r="L231" i="3"/>
  <c r="L227" i="3"/>
  <c r="L223" i="3"/>
  <c r="L219" i="3"/>
  <c r="L215" i="3"/>
  <c r="L211" i="3"/>
  <c r="L207" i="3"/>
  <c r="L203" i="3"/>
  <c r="L199" i="3"/>
  <c r="L195" i="3"/>
  <c r="L191" i="3"/>
  <c r="L187" i="3"/>
  <c r="L183" i="3"/>
  <c r="L179" i="3"/>
  <c r="L175" i="3"/>
  <c r="L171" i="3"/>
  <c r="L167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D3" i="3"/>
  <c r="F3" i="3"/>
  <c r="M38" i="3"/>
  <c r="M34" i="3"/>
  <c r="M30" i="3"/>
  <c r="M26" i="3"/>
  <c r="M22" i="3"/>
  <c r="M18" i="3"/>
  <c r="M14" i="3"/>
  <c r="M10" i="3"/>
  <c r="O9" i="3"/>
  <c r="O260" i="3"/>
  <c r="O256" i="3"/>
  <c r="O252" i="3"/>
  <c r="O248" i="3"/>
  <c r="O244" i="3"/>
  <c r="O240" i="3"/>
  <c r="O236" i="3"/>
  <c r="O232" i="3"/>
  <c r="O228" i="3"/>
  <c r="O224" i="3"/>
  <c r="O220" i="3"/>
  <c r="O216" i="3"/>
  <c r="O212" i="3"/>
  <c r="O208" i="3"/>
  <c r="O204" i="3"/>
  <c r="O200" i="3"/>
  <c r="O196" i="3"/>
  <c r="O192" i="3"/>
  <c r="O188" i="3"/>
  <c r="O184" i="3"/>
  <c r="O180" i="3"/>
  <c r="O176" i="3"/>
  <c r="O172" i="3"/>
  <c r="O168" i="3"/>
  <c r="O164" i="3"/>
  <c r="O160" i="3"/>
  <c r="O156" i="3"/>
  <c r="O152" i="3"/>
  <c r="O148" i="3"/>
  <c r="O144" i="3"/>
  <c r="O140" i="3"/>
  <c r="O136" i="3"/>
  <c r="O132" i="3"/>
  <c r="O128" i="3"/>
  <c r="O124" i="3"/>
  <c r="C4" i="3"/>
  <c r="N241" i="3"/>
  <c r="N217" i="3"/>
  <c r="N181" i="3"/>
  <c r="N97" i="3"/>
  <c r="N253" i="3"/>
  <c r="N229" i="3"/>
  <c r="N193" i="3"/>
  <c r="N169" i="3"/>
  <c r="N157" i="3"/>
  <c r="N145" i="3"/>
  <c r="N133" i="3"/>
  <c r="N121" i="3"/>
  <c r="N109" i="3"/>
  <c r="N85" i="3"/>
  <c r="N73" i="3"/>
  <c r="N61" i="3"/>
  <c r="N49" i="3"/>
  <c r="N37" i="3"/>
  <c r="N25" i="3"/>
  <c r="N21" i="3"/>
  <c r="N13" i="3"/>
  <c r="N205" i="3"/>
  <c r="O261" i="3"/>
  <c r="O253" i="3"/>
  <c r="J9" i="3"/>
  <c r="E3" i="3"/>
  <c r="M89" i="3"/>
  <c r="G3" i="3"/>
  <c r="O259" i="3"/>
  <c r="O255" i="3"/>
  <c r="O251" i="3"/>
  <c r="O247" i="3"/>
  <c r="O243" i="3"/>
  <c r="O239" i="3"/>
  <c r="O235" i="3"/>
  <c r="O231" i="3"/>
  <c r="O227" i="3"/>
  <c r="O223" i="3"/>
  <c r="O219" i="3"/>
  <c r="O215" i="3"/>
  <c r="O211" i="3"/>
  <c r="O207" i="3"/>
  <c r="O203" i="3"/>
  <c r="O199" i="3"/>
  <c r="O195" i="3"/>
  <c r="O191" i="3"/>
  <c r="O187" i="3"/>
  <c r="O183" i="3"/>
  <c r="O179" i="3"/>
  <c r="O175" i="3"/>
  <c r="O171" i="3"/>
  <c r="O167" i="3"/>
  <c r="O163" i="3"/>
  <c r="O159" i="3"/>
  <c r="O155" i="3"/>
  <c r="O151" i="3"/>
  <c r="O147" i="3"/>
  <c r="O143" i="3"/>
  <c r="O139" i="3"/>
  <c r="O135" i="3"/>
  <c r="O131" i="3"/>
  <c r="O127" i="3"/>
  <c r="O123" i="3"/>
  <c r="O119" i="3"/>
  <c r="O115" i="3"/>
  <c r="O111" i="3"/>
  <c r="O107" i="3"/>
  <c r="O103" i="3"/>
  <c r="O99" i="3"/>
  <c r="O95" i="3"/>
  <c r="O91" i="3"/>
  <c r="O87" i="3"/>
  <c r="O83" i="3"/>
  <c r="O79" i="3"/>
  <c r="O75" i="3"/>
  <c r="O71" i="3"/>
  <c r="O67" i="3"/>
  <c r="O63" i="3"/>
  <c r="O59" i="3"/>
  <c r="O55" i="3"/>
  <c r="O51" i="3"/>
  <c r="O47" i="3"/>
  <c r="O43" i="3"/>
  <c r="O39" i="3"/>
  <c r="O35" i="3"/>
  <c r="O31" i="3"/>
  <c r="O27" i="3"/>
  <c r="O23" i="3"/>
  <c r="O19" i="3"/>
  <c r="O15" i="3"/>
  <c r="M9" i="3"/>
  <c r="H3" i="3"/>
  <c r="N237" i="3"/>
  <c r="N141" i="3"/>
  <c r="N117" i="3"/>
  <c r="N93" i="3"/>
  <c r="N69" i="3"/>
  <c r="N45" i="3"/>
  <c r="N249" i="3"/>
  <c r="N257" i="3"/>
  <c r="N245" i="3"/>
  <c r="N233" i="3"/>
  <c r="N221" i="3"/>
  <c r="N209" i="3"/>
  <c r="N197" i="3"/>
  <c r="N185" i="3"/>
  <c r="N173" i="3"/>
  <c r="N161" i="3"/>
  <c r="N149" i="3"/>
  <c r="N137" i="3"/>
  <c r="N125" i="3"/>
  <c r="N113" i="3"/>
  <c r="N101" i="3"/>
  <c r="N89" i="3"/>
  <c r="N77" i="3"/>
  <c r="N65" i="3"/>
  <c r="N53" i="3"/>
  <c r="N41" i="3"/>
  <c r="N29" i="3"/>
  <c r="N17" i="3"/>
  <c r="N153" i="3"/>
  <c r="N256" i="3"/>
  <c r="N244" i="3"/>
  <c r="N201" i="3"/>
  <c r="N177" i="3"/>
  <c r="N189" i="3"/>
  <c r="N165" i="3"/>
  <c r="N9" i="3"/>
  <c r="N252" i="3"/>
  <c r="N240" i="3"/>
  <c r="N213" i="3"/>
  <c r="N261" i="3"/>
  <c r="N225" i="3"/>
  <c r="N129" i="3"/>
  <c r="N105" i="3"/>
  <c r="N81" i="3"/>
  <c r="N57" i="3"/>
  <c r="N33" i="3"/>
  <c r="N260" i="3"/>
  <c r="N248" i="3"/>
  <c r="J262" i="3"/>
  <c r="J250" i="3"/>
  <c r="J257" i="3"/>
  <c r="J249" i="3"/>
  <c r="J241" i="3"/>
  <c r="J233" i="3"/>
  <c r="J225" i="3"/>
  <c r="J217" i="3"/>
  <c r="J209" i="3"/>
  <c r="J201" i="3"/>
  <c r="J197" i="3"/>
  <c r="J193" i="3"/>
  <c r="J189" i="3"/>
  <c r="J185" i="3"/>
  <c r="J181" i="3"/>
  <c r="J177" i="3"/>
  <c r="J173" i="3"/>
  <c r="J169" i="3"/>
  <c r="J165" i="3"/>
  <c r="J161" i="3"/>
  <c r="J157" i="3"/>
  <c r="J153" i="3"/>
  <c r="J149" i="3"/>
  <c r="J145" i="3"/>
  <c r="J141" i="3"/>
  <c r="J137" i="3"/>
  <c r="J133" i="3"/>
  <c r="J129" i="3"/>
  <c r="J125" i="3"/>
  <c r="J121" i="3"/>
  <c r="J117" i="3"/>
  <c r="J113" i="3"/>
  <c r="J109" i="3"/>
  <c r="J105" i="3"/>
  <c r="J101" i="3"/>
  <c r="J97" i="3"/>
  <c r="J93" i="3"/>
  <c r="J89" i="3"/>
  <c r="J85" i="3"/>
  <c r="J81" i="3"/>
  <c r="J77" i="3"/>
  <c r="J73" i="3"/>
  <c r="J69" i="3"/>
  <c r="J65" i="3"/>
  <c r="J61" i="3"/>
  <c r="J57" i="3"/>
  <c r="J53" i="3"/>
  <c r="J49" i="3"/>
  <c r="J45" i="3"/>
  <c r="J41" i="3"/>
  <c r="J37" i="3"/>
  <c r="J33" i="3"/>
  <c r="J29" i="3"/>
  <c r="J25" i="3"/>
  <c r="J21" i="3"/>
  <c r="J17" i="3"/>
  <c r="J258" i="3"/>
  <c r="J246" i="3"/>
  <c r="J261" i="3"/>
  <c r="J253" i="3"/>
  <c r="J245" i="3"/>
  <c r="J237" i="3"/>
  <c r="J229" i="3"/>
  <c r="J221" i="3"/>
  <c r="J213" i="3"/>
  <c r="J205" i="3"/>
  <c r="J260" i="3"/>
  <c r="J256" i="3"/>
  <c r="J252" i="3"/>
  <c r="J248" i="3"/>
  <c r="J244" i="3"/>
  <c r="J240" i="3"/>
  <c r="J236" i="3"/>
  <c r="J232" i="3"/>
  <c r="J228" i="3"/>
  <c r="J224" i="3"/>
  <c r="J220" i="3"/>
  <c r="J216" i="3"/>
  <c r="J212" i="3"/>
  <c r="J208" i="3"/>
  <c r="J204" i="3"/>
  <c r="J200" i="3"/>
  <c r="J196" i="3"/>
  <c r="J192" i="3"/>
  <c r="J188" i="3"/>
  <c r="J184" i="3"/>
  <c r="J180" i="3"/>
  <c r="J176" i="3"/>
  <c r="J172" i="3"/>
  <c r="J168" i="3"/>
  <c r="J164" i="3"/>
  <c r="J160" i="3"/>
  <c r="J156" i="3"/>
  <c r="J152" i="3"/>
  <c r="J148" i="3"/>
  <c r="J144" i="3"/>
  <c r="J140" i="3"/>
  <c r="J136" i="3"/>
  <c r="J132" i="3"/>
  <c r="J128" i="3"/>
  <c r="J124" i="3"/>
  <c r="J120" i="3"/>
  <c r="J116" i="3"/>
  <c r="J112" i="3"/>
  <c r="J108" i="3"/>
  <c r="J104" i="3"/>
  <c r="J100" i="3"/>
  <c r="J96" i="3"/>
  <c r="J92" i="3"/>
  <c r="J88" i="3"/>
  <c r="J84" i="3"/>
  <c r="J80" i="3"/>
  <c r="J76" i="3"/>
  <c r="J72" i="3"/>
  <c r="J68" i="3"/>
  <c r="J64" i="3"/>
  <c r="J60" i="3"/>
  <c r="J56" i="3"/>
  <c r="J52" i="3"/>
  <c r="J48" i="3"/>
  <c r="J44" i="3"/>
  <c r="J40" i="3"/>
  <c r="J36" i="3"/>
  <c r="J32" i="3"/>
  <c r="J28" i="3"/>
  <c r="J24" i="3"/>
  <c r="J254" i="3"/>
  <c r="J242" i="3"/>
  <c r="J10" i="3"/>
  <c r="J13" i="3"/>
  <c r="K259" i="3"/>
  <c r="K255" i="3"/>
  <c r="K251" i="3"/>
  <c r="K247" i="3"/>
  <c r="K243" i="3"/>
  <c r="K239" i="3"/>
  <c r="K235" i="3"/>
  <c r="K231" i="3"/>
  <c r="K227" i="3"/>
  <c r="K223" i="3"/>
  <c r="K219" i="3"/>
  <c r="K215" i="3"/>
  <c r="K211" i="3"/>
  <c r="K207" i="3"/>
  <c r="K203" i="3"/>
  <c r="K199" i="3"/>
  <c r="K195" i="3"/>
  <c r="K191" i="3"/>
  <c r="K187" i="3"/>
  <c r="K183" i="3"/>
  <c r="K179" i="3"/>
  <c r="K175" i="3"/>
  <c r="K171" i="3"/>
  <c r="K167" i="3"/>
  <c r="K163" i="3"/>
  <c r="K159" i="3"/>
  <c r="K155" i="3"/>
  <c r="K151" i="3"/>
  <c r="K147" i="3"/>
  <c r="K143" i="3"/>
  <c r="K139" i="3"/>
  <c r="K135" i="3"/>
  <c r="K131" i="3"/>
  <c r="K127" i="3"/>
  <c r="K123" i="3"/>
  <c r="K119" i="3"/>
  <c r="K115" i="3"/>
  <c r="K111" i="3"/>
  <c r="K107" i="3"/>
  <c r="K103" i="3"/>
  <c r="K99" i="3"/>
  <c r="K95" i="3"/>
  <c r="K91" i="3"/>
  <c r="K87" i="3"/>
  <c r="K83" i="3"/>
  <c r="K79" i="3"/>
  <c r="K75" i="3"/>
  <c r="K71" i="3"/>
  <c r="K67" i="3"/>
  <c r="K63" i="3"/>
  <c r="K59" i="3"/>
  <c r="K55" i="3"/>
  <c r="K51" i="3"/>
  <c r="K47" i="3"/>
  <c r="K43" i="3"/>
  <c r="K39" i="3"/>
  <c r="K35" i="3"/>
  <c r="K31" i="3"/>
  <c r="K27" i="3"/>
  <c r="K23" i="3"/>
  <c r="K19" i="3"/>
  <c r="K10" i="3"/>
  <c r="L262" i="3"/>
  <c r="L258" i="3"/>
  <c r="L254" i="3"/>
  <c r="L250" i="3"/>
  <c r="L246" i="3"/>
  <c r="L242" i="3"/>
  <c r="L238" i="3"/>
  <c r="L234" i="3"/>
  <c r="L230" i="3"/>
  <c r="L226" i="3"/>
  <c r="L222" i="3"/>
  <c r="L218" i="3"/>
  <c r="L214" i="3"/>
  <c r="L210" i="3"/>
  <c r="L206" i="3"/>
  <c r="L202" i="3"/>
  <c r="L198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M261" i="3"/>
  <c r="M257" i="3"/>
  <c r="M253" i="3"/>
  <c r="M249" i="3"/>
  <c r="M245" i="3"/>
  <c r="M241" i="3"/>
  <c r="M237" i="3"/>
  <c r="M233" i="3"/>
  <c r="M229" i="3"/>
  <c r="M225" i="3"/>
  <c r="M221" i="3"/>
  <c r="M217" i="3"/>
  <c r="M213" i="3"/>
  <c r="M209" i="3"/>
  <c r="M205" i="3"/>
  <c r="M201" i="3"/>
  <c r="M197" i="3"/>
  <c r="M193" i="3"/>
  <c r="M189" i="3"/>
  <c r="M185" i="3"/>
  <c r="M181" i="3"/>
  <c r="M177" i="3"/>
  <c r="M173" i="3"/>
  <c r="M169" i="3"/>
  <c r="M165" i="3"/>
  <c r="M161" i="3"/>
  <c r="M157" i="3"/>
  <c r="M153" i="3"/>
  <c r="M149" i="3"/>
  <c r="M145" i="3"/>
  <c r="M141" i="3"/>
  <c r="M137" i="3"/>
  <c r="M133" i="3"/>
  <c r="M129" i="3"/>
  <c r="M125" i="3"/>
  <c r="M121" i="3"/>
  <c r="M117" i="3"/>
  <c r="M113" i="3"/>
  <c r="M109" i="3"/>
  <c r="M105" i="3"/>
  <c r="M101" i="3"/>
  <c r="M97" i="3"/>
  <c r="M93" i="3"/>
  <c r="J20" i="3"/>
  <c r="J16" i="3"/>
  <c r="J12" i="3"/>
  <c r="K262" i="3"/>
  <c r="K258" i="3"/>
  <c r="K254" i="3"/>
  <c r="K250" i="3"/>
  <c r="K246" i="3"/>
  <c r="K242" i="3"/>
  <c r="K238" i="3"/>
  <c r="K234" i="3"/>
  <c r="K230" i="3"/>
  <c r="K226" i="3"/>
  <c r="K222" i="3"/>
  <c r="K218" i="3"/>
  <c r="K214" i="3"/>
  <c r="K210" i="3"/>
  <c r="K206" i="3"/>
  <c r="K202" i="3"/>
  <c r="K198" i="3"/>
  <c r="K194" i="3"/>
  <c r="K190" i="3"/>
  <c r="K186" i="3"/>
  <c r="K182" i="3"/>
  <c r="K178" i="3"/>
  <c r="K174" i="3"/>
  <c r="K170" i="3"/>
  <c r="K166" i="3"/>
  <c r="K162" i="3"/>
  <c r="K158" i="3"/>
  <c r="K154" i="3"/>
  <c r="K150" i="3"/>
  <c r="K146" i="3"/>
  <c r="K142" i="3"/>
  <c r="K138" i="3"/>
  <c r="K134" i="3"/>
  <c r="K130" i="3"/>
  <c r="K126" i="3"/>
  <c r="K122" i="3"/>
  <c r="K118" i="3"/>
  <c r="K114" i="3"/>
  <c r="K110" i="3"/>
  <c r="K106" i="3"/>
  <c r="K102" i="3"/>
  <c r="K98" i="3"/>
  <c r="K94" i="3"/>
  <c r="K90" i="3"/>
  <c r="K86" i="3"/>
  <c r="K82" i="3"/>
  <c r="K78" i="3"/>
  <c r="K74" i="3"/>
  <c r="K70" i="3"/>
  <c r="K66" i="3"/>
  <c r="K62" i="3"/>
  <c r="K58" i="3"/>
  <c r="K54" i="3"/>
  <c r="K50" i="3"/>
  <c r="K46" i="3"/>
  <c r="K42" i="3"/>
  <c r="K38" i="3"/>
  <c r="K34" i="3"/>
  <c r="K30" i="3"/>
  <c r="K26" i="3"/>
  <c r="K22" i="3"/>
  <c r="K18" i="3"/>
  <c r="K13" i="3"/>
  <c r="K9" i="3"/>
  <c r="L261" i="3"/>
  <c r="L257" i="3"/>
  <c r="L253" i="3"/>
  <c r="L249" i="3"/>
  <c r="L245" i="3"/>
  <c r="L241" i="3"/>
  <c r="L237" i="3"/>
  <c r="L233" i="3"/>
  <c r="L229" i="3"/>
  <c r="L225" i="3"/>
  <c r="L221" i="3"/>
  <c r="L217" i="3"/>
  <c r="L213" i="3"/>
  <c r="L209" i="3"/>
  <c r="L205" i="3"/>
  <c r="L201" i="3"/>
  <c r="L197" i="3"/>
  <c r="L193" i="3"/>
  <c r="L189" i="3"/>
  <c r="L185" i="3"/>
  <c r="L181" i="3"/>
  <c r="L177" i="3"/>
  <c r="L173" i="3"/>
  <c r="L169" i="3"/>
  <c r="L165" i="3"/>
  <c r="L161" i="3"/>
  <c r="L157" i="3"/>
  <c r="L153" i="3"/>
  <c r="L149" i="3"/>
  <c r="L145" i="3"/>
  <c r="L141" i="3"/>
  <c r="L137" i="3"/>
  <c r="L133" i="3"/>
  <c r="L129" i="3"/>
  <c r="L125" i="3"/>
  <c r="L121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M260" i="3"/>
  <c r="M256" i="3"/>
  <c r="M252" i="3"/>
  <c r="M248" i="3"/>
  <c r="M244" i="3"/>
  <c r="M240" i="3"/>
  <c r="M236" i="3"/>
  <c r="M232" i="3"/>
  <c r="M228" i="3"/>
  <c r="M224" i="3"/>
  <c r="M220" i="3"/>
  <c r="M216" i="3"/>
  <c r="M212" i="3"/>
  <c r="M208" i="3"/>
  <c r="M204" i="3"/>
  <c r="M200" i="3"/>
  <c r="M196" i="3"/>
  <c r="M192" i="3"/>
  <c r="M188" i="3"/>
  <c r="M184" i="3"/>
  <c r="M180" i="3"/>
  <c r="M176" i="3"/>
  <c r="M172" i="3"/>
  <c r="M168" i="3"/>
  <c r="M164" i="3"/>
  <c r="M160" i="3"/>
  <c r="M156" i="3"/>
  <c r="M152" i="3"/>
  <c r="M148" i="3"/>
  <c r="M144" i="3"/>
  <c r="M140" i="3"/>
  <c r="M136" i="3"/>
  <c r="M132" i="3"/>
  <c r="M128" i="3"/>
  <c r="M124" i="3"/>
  <c r="M120" i="3"/>
  <c r="M116" i="3"/>
  <c r="M112" i="3"/>
  <c r="M108" i="3"/>
  <c r="M85" i="3"/>
  <c r="M81" i="3"/>
  <c r="M77" i="3"/>
  <c r="M73" i="3"/>
  <c r="M69" i="3"/>
  <c r="M65" i="3"/>
  <c r="M61" i="3"/>
  <c r="M57" i="3"/>
  <c r="M53" i="3"/>
  <c r="M49" i="3"/>
  <c r="M45" i="3"/>
  <c r="M41" i="3"/>
  <c r="M37" i="3"/>
  <c r="M33" i="3"/>
  <c r="M29" i="3"/>
  <c r="M25" i="3"/>
  <c r="M21" i="3"/>
  <c r="M17" i="3"/>
  <c r="M13" i="3"/>
  <c r="N236" i="3"/>
  <c r="N232" i="3"/>
  <c r="N228" i="3"/>
  <c r="N224" i="3"/>
  <c r="N220" i="3"/>
  <c r="N216" i="3"/>
  <c r="N212" i="3"/>
  <c r="N208" i="3"/>
  <c r="N204" i="3"/>
  <c r="N200" i="3"/>
  <c r="N196" i="3"/>
  <c r="N192" i="3"/>
  <c r="N188" i="3"/>
  <c r="N184" i="3"/>
  <c r="N180" i="3"/>
  <c r="N176" i="3"/>
  <c r="N172" i="3"/>
  <c r="N168" i="3"/>
  <c r="N164" i="3"/>
  <c r="N160" i="3"/>
  <c r="N156" i="3"/>
  <c r="N152" i="3"/>
  <c r="N148" i="3"/>
  <c r="N144" i="3"/>
  <c r="N140" i="3"/>
  <c r="N136" i="3"/>
  <c r="N132" i="3"/>
  <c r="N128" i="3"/>
  <c r="N124" i="3"/>
  <c r="N120" i="3"/>
  <c r="N116" i="3"/>
  <c r="N112" i="3"/>
  <c r="N108" i="3"/>
  <c r="N104" i="3"/>
  <c r="N100" i="3"/>
  <c r="N96" i="3"/>
  <c r="N92" i="3"/>
  <c r="N88" i="3"/>
  <c r="N84" i="3"/>
  <c r="N80" i="3"/>
  <c r="N76" i="3"/>
  <c r="N72" i="3"/>
  <c r="N68" i="3"/>
  <c r="N64" i="3"/>
  <c r="N60" i="3"/>
  <c r="N56" i="3"/>
  <c r="N52" i="3"/>
  <c r="N48" i="3"/>
  <c r="N44" i="3"/>
  <c r="N40" i="3"/>
  <c r="N36" i="3"/>
  <c r="N32" i="3"/>
  <c r="N28" i="3"/>
  <c r="N24" i="3"/>
  <c r="N20" i="3"/>
  <c r="N16" i="3"/>
  <c r="N12" i="3"/>
  <c r="M104" i="3"/>
  <c r="M100" i="3"/>
  <c r="M96" i="3"/>
  <c r="M92" i="3"/>
  <c r="M88" i="3"/>
  <c r="M84" i="3"/>
  <c r="M80" i="3"/>
  <c r="M76" i="3"/>
  <c r="M72" i="3"/>
  <c r="M68" i="3"/>
  <c r="M64" i="3"/>
  <c r="M60" i="3"/>
  <c r="M56" i="3"/>
  <c r="M52" i="3"/>
  <c r="M48" i="3"/>
  <c r="M44" i="3"/>
  <c r="M40" i="3"/>
  <c r="M36" i="3"/>
  <c r="M32" i="3"/>
  <c r="M28" i="3"/>
  <c r="M24" i="3"/>
  <c r="M20" i="3"/>
  <c r="M16" i="3"/>
  <c r="M12" i="3"/>
  <c r="N259" i="3"/>
  <c r="N255" i="3"/>
  <c r="N251" i="3"/>
  <c r="N247" i="3"/>
  <c r="N243" i="3"/>
  <c r="N239" i="3"/>
  <c r="N235" i="3"/>
  <c r="N231" i="3"/>
  <c r="N227" i="3"/>
  <c r="N223" i="3"/>
  <c r="N219" i="3"/>
  <c r="N215" i="3"/>
  <c r="N211" i="3"/>
  <c r="N207" i="3"/>
  <c r="N203" i="3"/>
  <c r="N199" i="3"/>
  <c r="N195" i="3"/>
  <c r="N191" i="3"/>
  <c r="N187" i="3"/>
  <c r="N183" i="3"/>
  <c r="N179" i="3"/>
  <c r="N175" i="3"/>
  <c r="N171" i="3"/>
  <c r="N167" i="3"/>
  <c r="N163" i="3"/>
  <c r="N159" i="3"/>
  <c r="N155" i="3"/>
  <c r="N151" i="3"/>
  <c r="N147" i="3"/>
  <c r="N143" i="3"/>
  <c r="N139" i="3"/>
  <c r="N135" i="3"/>
  <c r="N131" i="3"/>
  <c r="N127" i="3"/>
  <c r="N123" i="3"/>
  <c r="N119" i="3"/>
  <c r="N115" i="3"/>
  <c r="N111" i="3"/>
  <c r="N107" i="3"/>
  <c r="N103" i="3"/>
  <c r="N99" i="3"/>
  <c r="N95" i="3"/>
  <c r="N91" i="3"/>
  <c r="N87" i="3"/>
  <c r="N83" i="3"/>
  <c r="N79" i="3"/>
  <c r="N75" i="3"/>
  <c r="N71" i="3"/>
  <c r="N67" i="3"/>
  <c r="N63" i="3"/>
  <c r="N59" i="3"/>
  <c r="N55" i="3"/>
  <c r="N51" i="3"/>
  <c r="N47" i="3"/>
  <c r="N43" i="3"/>
  <c r="N39" i="3"/>
  <c r="N35" i="3"/>
  <c r="N31" i="3"/>
  <c r="N27" i="3"/>
  <c r="N23" i="3"/>
  <c r="N19" i="3"/>
  <c r="N15" i="3"/>
  <c r="N11" i="3"/>
  <c r="O262" i="3"/>
  <c r="O258" i="3"/>
  <c r="O254" i="3"/>
  <c r="O250" i="3"/>
  <c r="O246" i="3"/>
  <c r="O242" i="3"/>
  <c r="O238" i="3"/>
  <c r="O234" i="3"/>
  <c r="O230" i="3"/>
  <c r="O226" i="3"/>
  <c r="O222" i="3"/>
  <c r="O218" i="3"/>
  <c r="O214" i="3"/>
  <c r="O210" i="3"/>
  <c r="O206" i="3"/>
  <c r="O202" i="3"/>
  <c r="O198" i="3"/>
  <c r="O194" i="3"/>
  <c r="O190" i="3"/>
  <c r="O186" i="3"/>
  <c r="O182" i="3"/>
  <c r="O178" i="3"/>
  <c r="O174" i="3"/>
  <c r="O170" i="3"/>
  <c r="O166" i="3"/>
  <c r="O162" i="3"/>
  <c r="O158" i="3"/>
  <c r="O154" i="3"/>
  <c r="O150" i="3"/>
  <c r="O146" i="3"/>
  <c r="O142" i="3"/>
  <c r="O138" i="3"/>
  <c r="O134" i="3"/>
  <c r="O130" i="3"/>
  <c r="O126" i="3"/>
  <c r="O122" i="3"/>
  <c r="O118" i="3"/>
  <c r="O114" i="3"/>
  <c r="O110" i="3"/>
  <c r="O106" i="3"/>
  <c r="O102" i="3"/>
  <c r="O98" i="3"/>
  <c r="O94" i="3"/>
  <c r="O90" i="3"/>
  <c r="O86" i="3"/>
  <c r="O82" i="3"/>
  <c r="O78" i="3"/>
  <c r="O74" i="3"/>
  <c r="O70" i="3"/>
  <c r="O66" i="3"/>
  <c r="O62" i="3"/>
  <c r="O58" i="3"/>
  <c r="O54" i="3"/>
  <c r="O50" i="3"/>
  <c r="O46" i="3"/>
  <c r="O42" i="3"/>
  <c r="O38" i="3"/>
  <c r="O34" i="3"/>
  <c r="O30" i="3"/>
  <c r="O26" i="3"/>
  <c r="O22" i="3"/>
  <c r="O18" i="3"/>
  <c r="O14" i="3"/>
  <c r="M75" i="3"/>
  <c r="M71" i="3"/>
  <c r="M67" i="3"/>
  <c r="M63" i="3"/>
  <c r="M59" i="3"/>
  <c r="N130" i="3"/>
  <c r="N126" i="3"/>
  <c r="N122" i="3"/>
  <c r="N118" i="3"/>
  <c r="N114" i="3"/>
  <c r="N110" i="3"/>
  <c r="N106" i="3"/>
  <c r="N102" i="3"/>
  <c r="N98" i="3"/>
  <c r="N94" i="3"/>
  <c r="N90" i="3"/>
  <c r="N86" i="3"/>
  <c r="N82" i="3"/>
  <c r="N78" i="3"/>
  <c r="N74" i="3"/>
  <c r="N70" i="3"/>
  <c r="N66" i="3"/>
  <c r="N62" i="3"/>
  <c r="N58" i="3"/>
  <c r="N54" i="3"/>
  <c r="N50" i="3"/>
  <c r="N46" i="3"/>
  <c r="N42" i="3"/>
  <c r="N38" i="3"/>
  <c r="N34" i="3"/>
  <c r="N30" i="3"/>
  <c r="N26" i="3"/>
  <c r="N22" i="3"/>
  <c r="N18" i="3"/>
  <c r="N14" i="3"/>
  <c r="N10" i="3"/>
  <c r="O233" i="3"/>
  <c r="O229" i="3"/>
  <c r="O225" i="3"/>
  <c r="O221" i="3"/>
  <c r="O217" i="3"/>
  <c r="O213" i="3"/>
  <c r="O209" i="3"/>
  <c r="O205" i="3"/>
  <c r="O201" i="3"/>
  <c r="O197" i="3"/>
  <c r="O193" i="3"/>
  <c r="O189" i="3"/>
  <c r="O185" i="3"/>
  <c r="O181" i="3"/>
  <c r="O177" i="3"/>
  <c r="O173" i="3"/>
  <c r="O169" i="3"/>
  <c r="O165" i="3"/>
  <c r="O161" i="3"/>
  <c r="O157" i="3"/>
  <c r="O153" i="3"/>
  <c r="O149" i="3"/>
  <c r="O145" i="3"/>
  <c r="O141" i="3"/>
  <c r="O137" i="3"/>
  <c r="O133" i="3"/>
  <c r="O129" i="3"/>
  <c r="O125" i="3"/>
  <c r="O121" i="3"/>
  <c r="O117" i="3"/>
  <c r="O113" i="3"/>
  <c r="O109" i="3"/>
  <c r="O105" i="3"/>
  <c r="O101" i="3"/>
  <c r="O97" i="3"/>
  <c r="O93" i="3"/>
  <c r="O89" i="3"/>
  <c r="O85" i="3"/>
  <c r="O81" i="3"/>
  <c r="O77" i="3"/>
  <c r="O73" i="3"/>
  <c r="O69" i="3"/>
  <c r="O65" i="3"/>
  <c r="O61" i="3"/>
  <c r="O57" i="3"/>
  <c r="O53" i="3"/>
  <c r="O49" i="3"/>
  <c r="O45" i="3"/>
  <c r="O41" i="3"/>
  <c r="O37" i="3"/>
  <c r="O33" i="3"/>
  <c r="O29" i="3"/>
  <c r="O25" i="3"/>
  <c r="O21" i="3"/>
  <c r="O17" i="3"/>
  <c r="O13" i="3"/>
  <c r="O11" i="3"/>
  <c r="K14" i="3"/>
  <c r="K15" i="3"/>
  <c r="D5" i="3"/>
  <c r="E5" i="3"/>
  <c r="F5" i="3"/>
  <c r="G5" i="3"/>
  <c r="H5" i="3"/>
  <c r="D4" i="3"/>
  <c r="E4" i="3"/>
  <c r="F4" i="3"/>
  <c r="G4" i="3"/>
  <c r="H4" i="3"/>
  <c r="J6" i="3" l="1"/>
  <c r="P18" i="1"/>
  <c r="P19" i="1"/>
  <c r="P20" i="1"/>
  <c r="P21" i="1"/>
  <c r="P17" i="1"/>
  <c r="E6" i="3" l="1"/>
  <c r="F6" i="3"/>
  <c r="H6" i="3"/>
  <c r="D6" i="3"/>
  <c r="G6" i="3"/>
  <c r="R20" i="1" l="1"/>
  <c r="R22" i="1"/>
  <c r="R21" i="1"/>
  <c r="R19" i="1"/>
  <c r="R18" i="1"/>
  <c r="R17" i="1"/>
</calcChain>
</file>

<file path=xl/sharedStrings.xml><?xml version="1.0" encoding="utf-8"?>
<sst xmlns="http://schemas.openxmlformats.org/spreadsheetml/2006/main" count="108" uniqueCount="60">
  <si>
    <t>Date</t>
  </si>
  <si>
    <t>Open</t>
  </si>
  <si>
    <t>High</t>
  </si>
  <si>
    <t>Low</t>
  </si>
  <si>
    <t>Close</t>
  </si>
  <si>
    <t>Adj Close</t>
  </si>
  <si>
    <t>Volume</t>
  </si>
  <si>
    <t>SAN_Adj Close</t>
  </si>
  <si>
    <t>TEF_Adj Close</t>
  </si>
  <si>
    <t>ACS_Adj Close</t>
  </si>
  <si>
    <t>IBE_Adj Close</t>
  </si>
  <si>
    <t>IAG_Adj Close</t>
  </si>
  <si>
    <t>IBEX35_Adj Close</t>
  </si>
  <si>
    <t>Máximo anual</t>
  </si>
  <si>
    <t>Mínimo anual</t>
  </si>
  <si>
    <t>Promedio</t>
  </si>
  <si>
    <t>Volatilidad</t>
  </si>
  <si>
    <t>Estrategia 1</t>
  </si>
  <si>
    <t>Estrategia 2</t>
  </si>
  <si>
    <t>Estrategia 3</t>
  </si>
  <si>
    <t>Estrategia 4</t>
  </si>
  <si>
    <t>Estrategia 5</t>
  </si>
  <si>
    <t>Peso SAN</t>
  </si>
  <si>
    <t>Peso TEF</t>
  </si>
  <si>
    <t>Peso ACS</t>
  </si>
  <si>
    <t>Peso IBE</t>
  </si>
  <si>
    <t>Peso IAG</t>
  </si>
  <si>
    <t>Operaciones básicas: suma, resta, multiplicar, dividar y potencias</t>
  </si>
  <si>
    <t>Sacar máximo, mínimo, promedio, desviación típica</t>
  </si>
  <si>
    <t>Cálculo de rendimientos, todos los valores</t>
  </si>
  <si>
    <t>Copiar y pegar y pegar valores, copiar y pegar fórmulas</t>
  </si>
  <si>
    <t>Obtener la combinación de pesos que mejor rentabilidad dio en el año</t>
  </si>
  <si>
    <t>Gráficos: representación de series de datos</t>
  </si>
  <si>
    <t>Comparar la compra de acciones de IAG vs compra de opciones call, en función del valor final del subyacente</t>
  </si>
  <si>
    <t>Descargar datos de valores del IBEX, último año (SAN, TEF, ACS, AENA): https://es.finance.yahoo.com/quote/%5EIBEX/components</t>
  </si>
  <si>
    <t>Convertir .csv a .xlsx, moverse por una tabla, seleccionar valores</t>
  </si>
  <si>
    <t>Calcular la rentabilidad de una cartera que invierte a partes iguales, un 20% en cada una de las 5 acciones</t>
  </si>
  <si>
    <t>Calcular la rentabilidad de una cartera con distintas combinaciones de pesos:</t>
  </si>
  <si>
    <t>Buscar el precio de cierre ajustado de Iberdrola a 28/08/2023</t>
  </si>
  <si>
    <t>RENDIMIENTOS DIARIOS</t>
  </si>
  <si>
    <t># de días en la serie</t>
  </si>
  <si>
    <t>Rentabilidad anual</t>
  </si>
  <si>
    <t>Pintar las gráficas de payoff de un futuro y una opción sobre IAG, con strike 3</t>
  </si>
  <si>
    <t>Rentabilidad Cartera</t>
  </si>
  <si>
    <t xml:space="preserve">Mejor Rentabilidad </t>
  </si>
  <si>
    <t>Payoff Futuro (K=3)</t>
  </si>
  <si>
    <t>-</t>
  </si>
  <si>
    <t>Precio IAG (ST​)</t>
  </si>
  <si>
    <t>Payoff Call (Strike=3)</t>
  </si>
  <si>
    <t>Al comparar la compra de acciones (representada por el payoff lineal del futuro) frente a</t>
  </si>
  <si>
    <t>la compra de la opción Call, se observa que la principal diferencia radica en el perfil de</t>
  </si>
  <si>
    <t>riesgo ante el valor final del subyacente. Mientras que la acción obliga al inversor a asumir</t>
  </si>
  <si>
    <t>íntegramente las pérdidas si IAG cotiza por debajo de 3€, la opción Call permite limitar</t>
  </si>
  <si>
    <t>dicha pérdida, transformando un perfil de riesgo lineal en uno convexo. Esta asimetría</t>
  </si>
  <si>
    <t>justifica el pago de la prima, actuando como un seguro contra escenarios adversos.</t>
  </si>
  <si>
    <t>FORMULA PARA CALCULAR RENDIMIENTO LOGARITMICO</t>
  </si>
  <si>
    <t>(Rendi)</t>
  </si>
  <si>
    <t xml:space="preserve">FORMULA PARA EL RENDIMIENTO ANUAL </t>
  </si>
  <si>
    <t>FORMULA PARA LAVOLATILIDAD ANUALIZADA</t>
  </si>
  <si>
    <t xml:space="preserve">CALCULAR LA RENTABILIDAD DE UNA CARTERA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</si>
</sst>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9" fontId="0" fillId="0" borderId="1" xfId="1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9" fontId="0" fillId="0" borderId="4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9" xfId="0" applyFont="1" applyFill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49" fontId="0" fillId="0" borderId="0" xfId="0" applyNumberFormat="1"/>
    <xf numFmtId="2" fontId="0" fillId="0" borderId="0" xfId="0" applyNumberFormat="1"/>
    <xf numFmtId="0" fontId="0" fillId="0" borderId="0" xfId="0" applyNumberFormat="1"/>
    <xf numFmtId="0" fontId="5" fillId="0" borderId="0" xfId="0" applyFont="1"/>
    <xf numFmtId="0" fontId="4" fillId="0" borderId="0" xfId="0" applyFont="1" applyAlignment="1">
      <alignment horizontal="center" vertical="center"/>
    </xf>
    <xf numFmtId="9" fontId="0" fillId="0" borderId="6" xfId="1" applyFont="1" applyFill="1" applyBorder="1" applyAlignment="1">
      <alignment horizontal="center"/>
    </xf>
    <xf numFmtId="9" fontId="0" fillId="0" borderId="7" xfId="1" applyFont="1" applyFill="1" applyBorder="1" applyAlignment="1">
      <alignment horizontal="center"/>
    </xf>
    <xf numFmtId="9" fontId="0" fillId="2" borderId="4" xfId="1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2" fontId="0" fillId="2" borderId="10" xfId="0" applyNumberFormat="1" applyFill="1" applyBorder="1"/>
    <xf numFmtId="0" fontId="6" fillId="0" borderId="10" xfId="0" applyFont="1" applyFill="1" applyBorder="1" applyAlignment="1">
      <alignment horizontal="center"/>
    </xf>
    <xf numFmtId="164" fontId="0" fillId="0" borderId="0" xfId="0" applyNumberFormat="1" applyFill="1"/>
    <xf numFmtId="9" fontId="0" fillId="0" borderId="0" xfId="1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right"/>
    </xf>
    <xf numFmtId="2" fontId="0" fillId="0" borderId="12" xfId="0" applyNumberFormat="1" applyFill="1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10" fontId="0" fillId="2" borderId="10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0" fillId="0" borderId="11" xfId="0" applyNumberFormat="1" applyFill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2" borderId="0" xfId="0" applyNumberFormat="1" applyFill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7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10" fontId="0" fillId="0" borderId="12" xfId="1" applyNumberFormat="1" applyFont="1" applyBorder="1" applyAlignment="1">
      <alignment horizontal="center"/>
    </xf>
    <xf numFmtId="10" fontId="0" fillId="0" borderId="13" xfId="1" applyNumberFormat="1" applyFont="1" applyBorder="1" applyAlignment="1">
      <alignment horizontal="center"/>
    </xf>
    <xf numFmtId="10" fontId="0" fillId="2" borderId="12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horizontal="left"/>
    </xf>
    <xf numFmtId="0" fontId="2" fillId="0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9" xfId="0" applyBorder="1"/>
    <xf numFmtId="0" fontId="0" fillId="0" borderId="20" xfId="0" applyBorder="1"/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0" fillId="0" borderId="0" xfId="0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Gráfica de Payoff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Instrucciones!$L$25</c:f>
              <c:strCache>
                <c:ptCount val="1"/>
                <c:pt idx="0">
                  <c:v>Payoff Futuro (K=3)</c:v>
                </c:pt>
              </c:strCache>
            </c:strRef>
          </c:tx>
          <c:spPr>
            <a:ln w="19050" cap="flat">
              <a:solidFill>
                <a:schemeClr val="accent1"/>
              </a:solidFill>
              <a:prstDash val="solid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xVal>
            <c:numRef>
              <c:f>Instrucciones!$K$26:$K$37</c:f>
              <c:numCache>
                <c:formatCode>0.0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Instrucciones!$L$26:$L$37</c:f>
              <c:numCache>
                <c:formatCode>0.0</c:formatCode>
                <c:ptCount val="12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75-D840-B124-7210751B5E6A}"/>
            </c:ext>
          </c:extLst>
        </c:ser>
        <c:ser>
          <c:idx val="1"/>
          <c:order val="1"/>
          <c:tx>
            <c:strRef>
              <c:f>Instrucciones!$M$25</c:f>
              <c:strCache>
                <c:ptCount val="1"/>
                <c:pt idx="0">
                  <c:v>Payoff Call (Strike=3)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Instrucciones!$K$26:$K$37</c:f>
              <c:numCache>
                <c:formatCode>0.0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Instrucciones!$M$26:$M$37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75-D840-B124-7210751B5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111295"/>
        <c:axId val="1798386239"/>
      </c:scatterChart>
      <c:valAx>
        <c:axId val="178111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798386239"/>
        <c:crosses val="autoZero"/>
        <c:crossBetween val="midCat"/>
      </c:valAx>
      <c:valAx>
        <c:axId val="179838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78111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60123</xdr:colOff>
      <xdr:row>23</xdr:row>
      <xdr:rowOff>185034</xdr:rowOff>
    </xdr:from>
    <xdr:to>
      <xdr:col>18</xdr:col>
      <xdr:colOff>610725</xdr:colOff>
      <xdr:row>38</xdr:row>
      <xdr:rowOff>34563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95DE5BC-342F-6F4A-962C-291212FBC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123479</xdr:colOff>
      <xdr:row>11</xdr:row>
      <xdr:rowOff>164419</xdr:rowOff>
    </xdr:from>
    <xdr:to>
      <xdr:col>25</xdr:col>
      <xdr:colOff>123026</xdr:colOff>
      <xdr:row>22</xdr:row>
      <xdr:rowOff>120836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53AE6B-A4FB-2D46-9180-0EF8C625A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06032" y="2263071"/>
          <a:ext cx="4142810" cy="2037056"/>
        </a:xfrm>
        <a:prstGeom prst="rect">
          <a:avLst/>
        </a:prstGeom>
      </xdr:spPr>
    </xdr:pic>
    <xdr:clientData/>
  </xdr:twoCellAnchor>
  <xdr:twoCellAnchor editAs="oneCell">
    <xdr:from>
      <xdr:col>20</xdr:col>
      <xdr:colOff>128882</xdr:colOff>
      <xdr:row>22</xdr:row>
      <xdr:rowOff>76863</xdr:rowOff>
    </xdr:from>
    <xdr:to>
      <xdr:col>25</xdr:col>
      <xdr:colOff>75004</xdr:colOff>
      <xdr:row>28</xdr:row>
      <xdr:rowOff>77109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2C319A-5E0C-744F-B718-721761201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11435" y="4256154"/>
          <a:ext cx="4089385" cy="1135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716588</xdr:colOff>
      <xdr:row>17</xdr:row>
      <xdr:rowOff>20782</xdr:rowOff>
    </xdr:from>
    <xdr:to>
      <xdr:col>26</xdr:col>
      <xdr:colOff>183188</xdr:colOff>
      <xdr:row>42</xdr:row>
      <xdr:rowOff>133158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F60033-400E-EB47-8B94-295CA354A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13888" y="3271982"/>
          <a:ext cx="8547100" cy="4874876"/>
        </a:xfrm>
        <a:prstGeom prst="rect">
          <a:avLst/>
        </a:prstGeom>
      </xdr:spPr>
    </xdr:pic>
    <xdr:clientData/>
  </xdr:twoCellAnchor>
  <xdr:twoCellAnchor editAs="oneCell">
    <xdr:from>
      <xdr:col>10</xdr:col>
      <xdr:colOff>1119908</xdr:colOff>
      <xdr:row>1</xdr:row>
      <xdr:rowOff>46182</xdr:rowOff>
    </xdr:from>
    <xdr:to>
      <xdr:col>14</xdr:col>
      <xdr:colOff>56572</xdr:colOff>
      <xdr:row>5</xdr:row>
      <xdr:rowOff>7476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581CFB-5A1B-F148-B667-5C7AE07CB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38708" y="236682"/>
          <a:ext cx="3559464" cy="723294"/>
        </a:xfrm>
        <a:prstGeom prst="rect">
          <a:avLst/>
        </a:prstGeom>
      </xdr:spPr>
    </xdr:pic>
    <xdr:clientData/>
  </xdr:twoCellAnchor>
  <xdr:twoCellAnchor editAs="oneCell">
    <xdr:from>
      <xdr:col>15</xdr:col>
      <xdr:colOff>802720</xdr:colOff>
      <xdr:row>1</xdr:row>
      <xdr:rowOff>38207</xdr:rowOff>
    </xdr:from>
    <xdr:to>
      <xdr:col>22</xdr:col>
      <xdr:colOff>22920</xdr:colOff>
      <xdr:row>10</xdr:row>
      <xdr:rowOff>166184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960948A-EDEF-3940-B95E-ECC36B13E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00020" y="228707"/>
          <a:ext cx="4998700" cy="1855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46"/>
  <sheetViews>
    <sheetView showGridLines="0" tabSelected="1" zoomScale="83" zoomScaleNormal="89" workbookViewId="0">
      <selection activeCell="M27" sqref="M27"/>
    </sheetView>
  </sheetViews>
  <sheetFormatPr baseColWidth="10" defaultRowHeight="15" x14ac:dyDescent="0.2"/>
  <cols>
    <col min="1" max="1" width="3.83203125" customWidth="1"/>
    <col min="2" max="2" width="13.1640625" customWidth="1"/>
    <col min="11" max="11" width="14.6640625" bestFit="1" customWidth="1"/>
    <col min="12" max="12" width="18.6640625" bestFit="1" customWidth="1"/>
    <col min="13" max="13" width="20" bestFit="1" customWidth="1"/>
    <col min="16" max="16" width="8" bestFit="1" customWidth="1"/>
    <col min="17" max="17" width="17.1640625" bestFit="1" customWidth="1"/>
    <col min="18" max="18" width="16.6640625" bestFit="1" customWidth="1"/>
  </cols>
  <sheetData>
    <row r="3" spans="2:26" x14ac:dyDescent="0.2">
      <c r="B3" s="51" t="s">
        <v>34</v>
      </c>
      <c r="C3" s="51"/>
      <c r="D3" s="51"/>
      <c r="E3" s="51"/>
      <c r="F3" s="51"/>
      <c r="G3" s="51"/>
      <c r="H3" s="51"/>
      <c r="I3" s="51"/>
      <c r="J3" s="51"/>
    </row>
    <row r="4" spans="2:26" x14ac:dyDescent="0.2">
      <c r="B4" s="50" t="s">
        <v>35</v>
      </c>
      <c r="C4" s="50"/>
      <c r="D4" s="50"/>
      <c r="E4" s="50"/>
      <c r="F4" s="50"/>
    </row>
    <row r="5" spans="2:26" x14ac:dyDescent="0.2">
      <c r="B5" s="50" t="s">
        <v>30</v>
      </c>
      <c r="C5" s="50"/>
      <c r="D5" s="50"/>
      <c r="E5" s="50"/>
      <c r="F5" s="50"/>
    </row>
    <row r="6" spans="2:26" x14ac:dyDescent="0.2">
      <c r="B6" s="50" t="s">
        <v>27</v>
      </c>
      <c r="C6" s="50"/>
      <c r="D6" s="50"/>
      <c r="E6" s="50"/>
      <c r="F6" s="50"/>
    </row>
    <row r="7" spans="2:26" x14ac:dyDescent="0.2">
      <c r="B7" s="50" t="s">
        <v>32</v>
      </c>
      <c r="C7" s="50"/>
      <c r="D7" s="50"/>
      <c r="E7" s="50"/>
      <c r="F7" s="50"/>
    </row>
    <row r="10" spans="2:26" ht="16" thickBot="1" x14ac:dyDescent="0.25">
      <c r="B10" s="50" t="s">
        <v>28</v>
      </c>
      <c r="C10" s="50"/>
      <c r="D10" s="50"/>
      <c r="E10" s="50"/>
      <c r="F10" s="50"/>
    </row>
    <row r="11" spans="2:26" x14ac:dyDescent="0.2">
      <c r="B11" s="50" t="s">
        <v>29</v>
      </c>
      <c r="C11" s="50"/>
      <c r="D11" s="50"/>
      <c r="E11" s="50"/>
      <c r="F11" s="50"/>
      <c r="U11" s="61" t="s">
        <v>59</v>
      </c>
      <c r="V11" s="62"/>
      <c r="W11" s="62"/>
      <c r="X11" s="62"/>
      <c r="Y11" s="62"/>
      <c r="Z11" s="63"/>
    </row>
    <row r="12" spans="2:26" x14ac:dyDescent="0.2">
      <c r="B12" s="50" t="s">
        <v>38</v>
      </c>
      <c r="C12" s="50"/>
      <c r="D12" s="50"/>
      <c r="E12" s="50"/>
      <c r="F12" s="52"/>
      <c r="G12" s="23">
        <f>VLOOKUP(DATE(2023,8,28), IBE.MC!A:F, 6, FALSE)</f>
        <v>10.819673</v>
      </c>
      <c r="U12" s="56"/>
      <c r="V12" s="27"/>
      <c r="W12" s="27"/>
      <c r="X12" s="27"/>
      <c r="Y12" s="27"/>
      <c r="Z12" s="57"/>
    </row>
    <row r="13" spans="2:26" x14ac:dyDescent="0.2">
      <c r="U13" s="56"/>
      <c r="V13" s="27"/>
      <c r="W13" s="27"/>
      <c r="X13" s="27"/>
      <c r="Y13" s="27"/>
      <c r="Z13" s="57"/>
    </row>
    <row r="14" spans="2:26" x14ac:dyDescent="0.2">
      <c r="U14" s="56"/>
      <c r="V14" s="27"/>
      <c r="W14" s="27"/>
      <c r="X14" s="27"/>
      <c r="Y14" s="27"/>
      <c r="Z14" s="57"/>
    </row>
    <row r="15" spans="2:26" x14ac:dyDescent="0.2">
      <c r="B15" s="50" t="s">
        <v>36</v>
      </c>
      <c r="C15" s="50"/>
      <c r="D15" s="50"/>
      <c r="E15" s="50"/>
      <c r="F15" s="50"/>
      <c r="G15" s="50"/>
      <c r="H15" s="50"/>
      <c r="I15" s="50"/>
      <c r="J15" s="35">
        <f>AVERAGE('Datos acciones'!C2:G2)</f>
        <v>0.23706323108774194</v>
      </c>
      <c r="U15" s="56"/>
      <c r="V15" s="27"/>
      <c r="W15" s="27"/>
      <c r="X15" s="27"/>
      <c r="Y15" s="27"/>
      <c r="Z15" s="57"/>
    </row>
    <row r="16" spans="2:26" x14ac:dyDescent="0.2">
      <c r="B16" s="50" t="s">
        <v>37</v>
      </c>
      <c r="C16" s="50"/>
      <c r="D16" s="50"/>
      <c r="E16" s="50"/>
      <c r="F16" s="50"/>
      <c r="G16" s="50"/>
      <c r="H16" s="50"/>
      <c r="I16" s="29"/>
      <c r="L16" s="3" t="s">
        <v>22</v>
      </c>
      <c r="M16" s="3" t="s">
        <v>23</v>
      </c>
      <c r="N16" s="3" t="s">
        <v>24</v>
      </c>
      <c r="O16" s="3" t="s">
        <v>25</v>
      </c>
      <c r="P16" s="3" t="s">
        <v>26</v>
      </c>
      <c r="Q16" s="3" t="s">
        <v>43</v>
      </c>
      <c r="R16" s="3" t="s">
        <v>44</v>
      </c>
      <c r="U16" s="56"/>
      <c r="V16" s="27"/>
      <c r="W16" s="27"/>
      <c r="X16" s="27"/>
      <c r="Y16" s="27"/>
      <c r="Z16" s="57"/>
    </row>
    <row r="17" spans="2:26" x14ac:dyDescent="0.2">
      <c r="B17" s="50" t="s">
        <v>31</v>
      </c>
      <c r="C17" s="50"/>
      <c r="D17" s="50"/>
      <c r="E17" s="50"/>
      <c r="F17" s="50"/>
      <c r="G17" s="50"/>
      <c r="H17" s="50"/>
      <c r="I17" s="29"/>
      <c r="K17" s="3" t="s">
        <v>17</v>
      </c>
      <c r="L17" s="5">
        <v>0.1</v>
      </c>
      <c r="M17" s="6">
        <v>0.3</v>
      </c>
      <c r="N17" s="6">
        <v>0.3</v>
      </c>
      <c r="O17" s="6">
        <v>0.2</v>
      </c>
      <c r="P17" s="38">
        <f>1-SUM(L17:O17)</f>
        <v>0.10000000000000009</v>
      </c>
      <c r="Q17" s="46">
        <f>SUMPRODUCT(L17:P17, 'Datos acciones'!$C$2:$G$2)</f>
        <v>0.20327561216064691</v>
      </c>
      <c r="R17" s="42" t="str">
        <f>IF(Q17=MAX($Q$17:$Q$22), "ÓPTIMO", "   ")</f>
        <v xml:space="preserve">   </v>
      </c>
      <c r="U17" s="56"/>
      <c r="V17" s="27"/>
      <c r="W17" s="27"/>
      <c r="X17" s="27"/>
      <c r="Y17" s="27"/>
      <c r="Z17" s="57"/>
    </row>
    <row r="18" spans="2:26" x14ac:dyDescent="0.2">
      <c r="K18" s="36" t="s">
        <v>18</v>
      </c>
      <c r="L18" s="21">
        <v>0.4</v>
      </c>
      <c r="M18" s="22">
        <v>0</v>
      </c>
      <c r="N18" s="22">
        <v>0.3</v>
      </c>
      <c r="O18" s="22">
        <v>0.3</v>
      </c>
      <c r="P18" s="39">
        <f t="shared" ref="P18:P21" si="0">1-SUM(L18:O18)</f>
        <v>0</v>
      </c>
      <c r="Q18" s="49">
        <f>SUMPRODUCT(L18:P18, 'Datos acciones'!$C$2:$G$2)</f>
        <v>0.32276832360010127</v>
      </c>
      <c r="R18" s="43" t="str">
        <f t="shared" ref="R18:R21" si="1">IF(Q18=MAX($Q$17:$Q$22), "ÓPTIMO", "   ")</f>
        <v>ÓPTIMO</v>
      </c>
      <c r="U18" s="56"/>
      <c r="V18" s="27"/>
      <c r="W18" s="27"/>
      <c r="X18" s="27"/>
      <c r="Y18" s="27"/>
      <c r="Z18" s="57"/>
    </row>
    <row r="19" spans="2:26" x14ac:dyDescent="0.2">
      <c r="K19" s="3" t="s">
        <v>19</v>
      </c>
      <c r="L19" s="7">
        <v>0.3</v>
      </c>
      <c r="M19" s="8">
        <v>0.3</v>
      </c>
      <c r="N19" s="8">
        <v>0.3</v>
      </c>
      <c r="O19" s="8">
        <v>0.1</v>
      </c>
      <c r="P19" s="40">
        <f t="shared" si="0"/>
        <v>0</v>
      </c>
      <c r="Q19" s="47">
        <f>SUMPRODUCT(L19:P19, 'Datos acciones'!$C$2:$G$2)</f>
        <v>0.29286453576571786</v>
      </c>
      <c r="R19" s="44" t="str">
        <f t="shared" si="1"/>
        <v xml:space="preserve">   </v>
      </c>
      <c r="U19" s="56"/>
      <c r="V19" s="27"/>
      <c r="W19" s="27"/>
      <c r="X19" s="27"/>
      <c r="Y19" s="27"/>
      <c r="Z19" s="57"/>
    </row>
    <row r="20" spans="2:26" x14ac:dyDescent="0.2">
      <c r="B20" s="50" t="s">
        <v>42</v>
      </c>
      <c r="C20" s="50"/>
      <c r="D20" s="50"/>
      <c r="E20" s="50"/>
      <c r="F20" s="50"/>
      <c r="G20" s="50"/>
      <c r="H20" s="29"/>
      <c r="I20" s="29"/>
      <c r="K20" s="3" t="s">
        <v>20</v>
      </c>
      <c r="L20" s="7">
        <v>0</v>
      </c>
      <c r="M20" s="8">
        <v>0</v>
      </c>
      <c r="N20" s="8">
        <v>0.3</v>
      </c>
      <c r="O20" s="8">
        <v>0.3</v>
      </c>
      <c r="P20" s="40">
        <f t="shared" si="0"/>
        <v>0.4</v>
      </c>
      <c r="Q20" s="47">
        <f>SUMPRODUCT(L20:P20, 'Datos acciones'!$C$2:$G$2)</f>
        <v>0.17530621701379534</v>
      </c>
      <c r="R20" s="44" t="str">
        <f t="shared" si="1"/>
        <v xml:space="preserve">   </v>
      </c>
      <c r="U20" s="56"/>
      <c r="V20" s="27"/>
      <c r="W20" s="27"/>
      <c r="X20" s="27"/>
      <c r="Y20" s="27"/>
      <c r="Z20" s="57"/>
    </row>
    <row r="21" spans="2:26" x14ac:dyDescent="0.2">
      <c r="B21" s="50" t="s">
        <v>33</v>
      </c>
      <c r="C21" s="50"/>
      <c r="D21" s="50"/>
      <c r="E21" s="50"/>
      <c r="F21" s="50"/>
      <c r="G21" s="50"/>
      <c r="H21" s="50"/>
      <c r="I21" s="50"/>
      <c r="K21" s="28" t="s">
        <v>21</v>
      </c>
      <c r="L21" s="19">
        <v>0.2</v>
      </c>
      <c r="M21" s="20">
        <v>0.1</v>
      </c>
      <c r="N21" s="20">
        <v>0.4</v>
      </c>
      <c r="O21" s="20">
        <v>0.2</v>
      </c>
      <c r="P21" s="41">
        <f t="shared" si="0"/>
        <v>9.9999999999999867E-2</v>
      </c>
      <c r="Q21" s="48">
        <f>SUMPRODUCT(L21:P21, 'Datos acciones'!$C$2:$G$2)</f>
        <v>0.26797304833834779</v>
      </c>
      <c r="R21" s="45" t="str">
        <f t="shared" si="1"/>
        <v xml:space="preserve">   </v>
      </c>
      <c r="U21" s="56"/>
      <c r="V21" s="27"/>
      <c r="W21" s="27"/>
      <c r="X21" s="27"/>
      <c r="Y21" s="27"/>
      <c r="Z21" s="57"/>
    </row>
    <row r="22" spans="2:26" x14ac:dyDescent="0.2">
      <c r="B22" s="29"/>
      <c r="C22" s="29"/>
      <c r="D22" s="29"/>
      <c r="E22" s="29"/>
      <c r="F22" s="29"/>
      <c r="G22" s="29"/>
      <c r="H22" s="29"/>
      <c r="I22" s="29"/>
      <c r="K22" s="27"/>
      <c r="L22" s="26"/>
      <c r="M22" s="26"/>
      <c r="N22" s="26"/>
      <c r="O22" s="26"/>
      <c r="P22" s="26"/>
      <c r="Q22" s="27"/>
      <c r="R22" t="str">
        <f t="shared" ref="R22" si="2">IF(Q22=MAX($Q$17:$Q$22), "OPTIMO", "   ")</f>
        <v xml:space="preserve">   </v>
      </c>
      <c r="U22" s="56"/>
      <c r="V22" s="27"/>
      <c r="W22" s="27"/>
      <c r="X22" s="27"/>
      <c r="Y22" s="27"/>
      <c r="Z22" s="57"/>
    </row>
    <row r="23" spans="2:26" x14ac:dyDescent="0.2">
      <c r="U23" s="56"/>
      <c r="V23" s="27"/>
      <c r="W23" s="27"/>
      <c r="X23" s="27"/>
      <c r="Y23" s="27"/>
      <c r="Z23" s="57"/>
    </row>
    <row r="24" spans="2:26" x14ac:dyDescent="0.2">
      <c r="U24" s="56"/>
      <c r="V24" s="27"/>
      <c r="W24" s="27"/>
      <c r="X24" s="27"/>
      <c r="Y24" s="27"/>
      <c r="Z24" s="57"/>
    </row>
    <row r="25" spans="2:26" x14ac:dyDescent="0.2">
      <c r="K25" s="30" t="s">
        <v>47</v>
      </c>
      <c r="L25" s="30" t="s">
        <v>45</v>
      </c>
      <c r="M25" s="30" t="s">
        <v>48</v>
      </c>
      <c r="U25" s="56"/>
      <c r="V25" s="27"/>
      <c r="W25" s="27"/>
      <c r="X25" s="27"/>
      <c r="Y25" s="27"/>
      <c r="Z25" s="57"/>
    </row>
    <row r="26" spans="2:26" x14ac:dyDescent="0.2">
      <c r="B26" s="2"/>
      <c r="K26" s="31">
        <v>0</v>
      </c>
      <c r="L26" s="31">
        <f>K26-3</f>
        <v>-3</v>
      </c>
      <c r="M26" s="31">
        <f>MAX(L26,0)</f>
        <v>0</v>
      </c>
      <c r="U26" s="56"/>
      <c r="V26" s="27"/>
      <c r="W26" s="27"/>
      <c r="X26" s="27"/>
      <c r="Y26" s="27"/>
      <c r="Z26" s="57"/>
    </row>
    <row r="27" spans="2:26" x14ac:dyDescent="0.2">
      <c r="B27" s="17"/>
      <c r="C27" s="17"/>
      <c r="D27" s="17"/>
      <c r="K27" s="31">
        <v>0.5</v>
      </c>
      <c r="L27" s="31">
        <f t="shared" ref="L27:L37" si="3">K27-3</f>
        <v>-2.5</v>
      </c>
      <c r="M27" s="31">
        <f>MAX(L27,0)</f>
        <v>0</v>
      </c>
      <c r="U27" s="56"/>
      <c r="V27" s="27"/>
      <c r="W27" s="27"/>
      <c r="X27" s="27"/>
      <c r="Y27" s="27"/>
      <c r="Z27" s="57"/>
    </row>
    <row r="28" spans="2:26" x14ac:dyDescent="0.2">
      <c r="B28" s="18"/>
      <c r="C28" s="18"/>
      <c r="D28" s="18"/>
      <c r="K28" s="31">
        <v>1</v>
      </c>
      <c r="L28" s="31">
        <f t="shared" si="3"/>
        <v>-2</v>
      </c>
      <c r="M28" s="31">
        <f t="shared" ref="M28:M37" si="4">MAX(L28,0)</f>
        <v>0</v>
      </c>
      <c r="U28" s="56"/>
      <c r="V28" s="27"/>
      <c r="W28" s="27"/>
      <c r="X28" s="27"/>
      <c r="Y28" s="27"/>
      <c r="Z28" s="57"/>
    </row>
    <row r="29" spans="2:26" ht="16" thickBot="1" x14ac:dyDescent="0.25">
      <c r="B29" s="18"/>
      <c r="C29" s="18"/>
      <c r="D29" s="18"/>
      <c r="K29" s="31">
        <v>1.5</v>
      </c>
      <c r="L29" s="31">
        <f t="shared" si="3"/>
        <v>-1.5</v>
      </c>
      <c r="M29" s="31">
        <f t="shared" si="4"/>
        <v>0</v>
      </c>
      <c r="U29" s="58"/>
      <c r="V29" s="59"/>
      <c r="W29" s="59"/>
      <c r="X29" s="59"/>
      <c r="Y29" s="59"/>
      <c r="Z29" s="60"/>
    </row>
    <row r="30" spans="2:26" x14ac:dyDescent="0.2">
      <c r="B30" s="18"/>
      <c r="C30" s="18"/>
      <c r="D30" s="18"/>
      <c r="K30" s="31">
        <v>2</v>
      </c>
      <c r="L30" s="31">
        <f t="shared" si="3"/>
        <v>-1</v>
      </c>
      <c r="M30" s="31">
        <f t="shared" si="4"/>
        <v>0</v>
      </c>
    </row>
    <row r="31" spans="2:26" x14ac:dyDescent="0.2">
      <c r="B31" s="18"/>
      <c r="C31" s="18"/>
      <c r="D31" s="18"/>
      <c r="K31" s="31">
        <v>2.5</v>
      </c>
      <c r="L31" s="31">
        <f t="shared" si="3"/>
        <v>-0.5</v>
      </c>
      <c r="M31" s="31">
        <f t="shared" si="4"/>
        <v>0</v>
      </c>
    </row>
    <row r="32" spans="2:26" x14ac:dyDescent="0.2">
      <c r="B32" s="18"/>
      <c r="C32" s="18"/>
      <c r="D32" s="18"/>
      <c r="K32" s="31">
        <v>3</v>
      </c>
      <c r="L32" s="31">
        <f t="shared" si="3"/>
        <v>0</v>
      </c>
      <c r="M32" s="31">
        <f t="shared" si="4"/>
        <v>0</v>
      </c>
    </row>
    <row r="33" spans="2:21" x14ac:dyDescent="0.2">
      <c r="B33" s="18"/>
      <c r="C33" s="18"/>
      <c r="D33" s="18"/>
      <c r="K33" s="31">
        <v>3.5</v>
      </c>
      <c r="L33" s="31">
        <f t="shared" si="3"/>
        <v>0.5</v>
      </c>
      <c r="M33" s="31">
        <f t="shared" si="4"/>
        <v>0.5</v>
      </c>
    </row>
    <row r="34" spans="2:21" x14ac:dyDescent="0.2">
      <c r="B34" s="18"/>
      <c r="C34" s="18"/>
      <c r="D34" s="18"/>
      <c r="K34" s="31">
        <v>4</v>
      </c>
      <c r="L34" s="31">
        <f t="shared" si="3"/>
        <v>1</v>
      </c>
      <c r="M34" s="31">
        <f t="shared" si="4"/>
        <v>1</v>
      </c>
    </row>
    <row r="35" spans="2:21" x14ac:dyDescent="0.2">
      <c r="B35" s="18"/>
      <c r="C35" s="18"/>
      <c r="D35" s="18"/>
      <c r="K35" s="31">
        <v>4.5</v>
      </c>
      <c r="L35" s="31">
        <f t="shared" si="3"/>
        <v>1.5</v>
      </c>
      <c r="M35" s="31">
        <f t="shared" si="4"/>
        <v>1.5</v>
      </c>
    </row>
    <row r="36" spans="2:21" x14ac:dyDescent="0.2">
      <c r="B36" s="18"/>
      <c r="C36" s="18"/>
      <c r="D36" s="18"/>
      <c r="K36" s="31">
        <v>5</v>
      </c>
      <c r="L36" s="31">
        <f t="shared" si="3"/>
        <v>2</v>
      </c>
      <c r="M36" s="31">
        <f t="shared" si="4"/>
        <v>2</v>
      </c>
    </row>
    <row r="37" spans="2:21" x14ac:dyDescent="0.2">
      <c r="B37" s="18"/>
      <c r="C37" s="18"/>
      <c r="D37" s="18"/>
      <c r="K37" s="31">
        <v>6</v>
      </c>
      <c r="L37" s="31">
        <f t="shared" si="3"/>
        <v>3</v>
      </c>
      <c r="M37" s="31">
        <f t="shared" si="4"/>
        <v>3</v>
      </c>
    </row>
    <row r="38" spans="2:21" x14ac:dyDescent="0.2">
      <c r="B38" s="18"/>
      <c r="C38" s="18"/>
      <c r="D38" s="18"/>
    </row>
    <row r="39" spans="2:21" x14ac:dyDescent="0.2">
      <c r="B39" s="18"/>
      <c r="C39" s="18"/>
      <c r="D39" s="18"/>
    </row>
    <row r="40" spans="2:21" x14ac:dyDescent="0.2">
      <c r="O40" s="2" t="s">
        <v>33</v>
      </c>
    </row>
    <row r="41" spans="2:21" x14ac:dyDescent="0.2">
      <c r="B41" s="2"/>
      <c r="O41" s="64" t="s">
        <v>49</v>
      </c>
      <c r="P41" s="64"/>
      <c r="Q41" s="64"/>
      <c r="R41" s="64"/>
      <c r="S41" s="64"/>
      <c r="T41" s="64"/>
      <c r="U41" s="64"/>
    </row>
    <row r="42" spans="2:21" x14ac:dyDescent="0.2">
      <c r="O42" s="64" t="s">
        <v>50</v>
      </c>
      <c r="P42" s="64"/>
      <c r="Q42" s="64"/>
      <c r="R42" s="64"/>
      <c r="S42" s="64"/>
      <c r="T42" s="64"/>
      <c r="U42" s="64"/>
    </row>
    <row r="43" spans="2:21" x14ac:dyDescent="0.2">
      <c r="O43" s="64" t="s">
        <v>51</v>
      </c>
      <c r="P43" s="64"/>
      <c r="Q43" s="64"/>
      <c r="R43" s="64"/>
      <c r="S43" s="64"/>
      <c r="T43" s="64"/>
      <c r="U43" s="64"/>
    </row>
    <row r="44" spans="2:21" x14ac:dyDescent="0.2">
      <c r="O44" s="64" t="s">
        <v>52</v>
      </c>
      <c r="P44" s="64"/>
      <c r="Q44" s="64"/>
      <c r="R44" s="64"/>
      <c r="S44" s="64"/>
      <c r="T44" s="64"/>
      <c r="U44" s="64"/>
    </row>
    <row r="45" spans="2:21" x14ac:dyDescent="0.2">
      <c r="O45" s="64" t="s">
        <v>53</v>
      </c>
      <c r="P45" s="64"/>
      <c r="Q45" s="64"/>
      <c r="R45" s="64"/>
      <c r="S45" s="64"/>
      <c r="T45" s="64"/>
      <c r="U45" s="64"/>
    </row>
    <row r="46" spans="2:21" x14ac:dyDescent="0.2">
      <c r="O46" s="64" t="s">
        <v>54</v>
      </c>
      <c r="P46" s="64"/>
      <c r="Q46" s="64"/>
      <c r="R46" s="64"/>
      <c r="S46" s="64"/>
      <c r="T46" s="64"/>
      <c r="U46" s="64"/>
    </row>
  </sheetData>
  <mergeCells count="14">
    <mergeCell ref="U11:Z11"/>
    <mergeCell ref="B3:J3"/>
    <mergeCell ref="B4:F4"/>
    <mergeCell ref="B5:F5"/>
    <mergeCell ref="B6:F6"/>
    <mergeCell ref="B7:F7"/>
    <mergeCell ref="B20:G20"/>
    <mergeCell ref="B21:I21"/>
    <mergeCell ref="B11:F11"/>
    <mergeCell ref="B12:F12"/>
    <mergeCell ref="B16:H16"/>
    <mergeCell ref="B17:H17"/>
    <mergeCell ref="B15:I15"/>
    <mergeCell ref="B10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63"/>
  <sheetViews>
    <sheetView showGridLines="0" topLeftCell="B1" zoomScale="113" zoomScaleNormal="91" workbookViewId="0">
      <selection activeCell="W15" sqref="W15"/>
    </sheetView>
  </sheetViews>
  <sheetFormatPr baseColWidth="10" defaultRowHeight="15" x14ac:dyDescent="0.2"/>
  <cols>
    <col min="1" max="1" width="9.83203125" customWidth="1"/>
    <col min="2" max="2" width="17.83203125" bestFit="1" customWidth="1"/>
    <col min="3" max="8" width="14.5" style="10" customWidth="1"/>
    <col min="9" max="9" width="10.83203125" style="10"/>
    <col min="10" max="15" width="15.1640625" style="10" customWidth="1"/>
  </cols>
  <sheetData>
    <row r="1" spans="1:22" x14ac:dyDescent="0.2">
      <c r="L1" s="55" t="s">
        <v>57</v>
      </c>
      <c r="M1" s="55"/>
      <c r="N1" s="55"/>
      <c r="P1" s="10"/>
      <c r="Q1" s="55" t="s">
        <v>58</v>
      </c>
      <c r="R1" s="55"/>
      <c r="S1" s="55"/>
      <c r="T1" s="55"/>
      <c r="U1" s="55"/>
      <c r="V1" s="55"/>
    </row>
    <row r="2" spans="1:22" x14ac:dyDescent="0.2">
      <c r="B2" s="10" t="s">
        <v>41</v>
      </c>
      <c r="C2" s="37">
        <f>(C9/C263)-1</f>
        <v>0.55754736944522687</v>
      </c>
      <c r="D2" s="37">
        <f t="shared" ref="D2:H2" si="0">(D9/D263)-1</f>
        <v>0.10637876360731902</v>
      </c>
      <c r="E2" s="37">
        <f t="shared" si="0"/>
        <v>0.30218451954641967</v>
      </c>
      <c r="F2" s="37">
        <f t="shared" si="0"/>
        <v>3.0313399860282031E-2</v>
      </c>
      <c r="G2" s="37">
        <f t="shared" si="0"/>
        <v>0.18889210297946213</v>
      </c>
      <c r="H2" s="37">
        <f t="shared" si="0"/>
        <v>0.20707711384049343</v>
      </c>
      <c r="I2" s="11"/>
      <c r="P2" s="10"/>
      <c r="Q2" s="10"/>
    </row>
    <row r="3" spans="1:22" x14ac:dyDescent="0.2">
      <c r="B3" s="4" t="s">
        <v>13</v>
      </c>
      <c r="C3" s="33">
        <f>MAX('Datos acciones'!C9:C263)</f>
        <v>4.8505000000000003</v>
      </c>
      <c r="D3" s="33">
        <f>MAX('Datos acciones'!D9:D263)</f>
        <v>4.2220000000000004</v>
      </c>
      <c r="E3" s="33">
        <f>MAX('Datos acciones'!E9:E263)</f>
        <v>40.590000000000003</v>
      </c>
      <c r="F3" s="33">
        <f>MAX('Datos acciones'!F9:F263)</f>
        <v>11.832326</v>
      </c>
      <c r="G3" s="33">
        <f>MAX('Datos acciones'!G9:G263)</f>
        <v>2.0699999999999998</v>
      </c>
      <c r="H3" s="33">
        <f>MAX('Datos acciones'!H9:H263)</f>
        <v>11154.599609000001</v>
      </c>
      <c r="I3" s="11"/>
    </row>
    <row r="4" spans="1:22" x14ac:dyDescent="0.2">
      <c r="B4" s="4" t="s">
        <v>14</v>
      </c>
      <c r="C4" s="33">
        <f>MIN(C9:C263)</f>
        <v>2.975902</v>
      </c>
      <c r="D4" s="33">
        <f t="shared" ref="D4:H4" si="1">MIN(D9:D263)</f>
        <v>3.3827829999999999</v>
      </c>
      <c r="E4" s="33">
        <f t="shared" si="1"/>
        <v>28.557290999999999</v>
      </c>
      <c r="F4" s="33">
        <f t="shared" si="1"/>
        <v>9.7254149999999999</v>
      </c>
      <c r="G4" s="33">
        <f t="shared" si="1"/>
        <v>1.5865</v>
      </c>
      <c r="H4" s="33">
        <f t="shared" si="1"/>
        <v>8918.2998050000006</v>
      </c>
      <c r="I4" s="11"/>
    </row>
    <row r="5" spans="1:22" x14ac:dyDescent="0.2">
      <c r="B5" s="32" t="s">
        <v>15</v>
      </c>
      <c r="C5" s="33">
        <f>AVERAGE(C9:C263)</f>
        <v>3.6239312196078424</v>
      </c>
      <c r="D5" s="33">
        <f t="shared" ref="D5:H5" si="2">AVERAGE(D9:D263)</f>
        <v>3.6922152627450977</v>
      </c>
      <c r="E5" s="33">
        <f t="shared" si="2"/>
        <v>33.899086627450963</v>
      </c>
      <c r="F5" s="33">
        <f t="shared" si="2"/>
        <v>10.977865250980392</v>
      </c>
      <c r="G5" s="33">
        <f t="shared" si="2"/>
        <v>1.8129509803921575</v>
      </c>
      <c r="H5" s="33">
        <f t="shared" si="2"/>
        <v>9743.9992111019619</v>
      </c>
      <c r="I5" s="11"/>
      <c r="J5" s="11" t="s">
        <v>40</v>
      </c>
    </row>
    <row r="6" spans="1:22" x14ac:dyDescent="0.2">
      <c r="B6" s="32" t="s">
        <v>16</v>
      </c>
      <c r="C6" s="34">
        <f>_xlfn.STDEV.S(J9:J263) * SQRT($J$6)</f>
        <v>0.22998036785843023</v>
      </c>
      <c r="D6" s="34">
        <f t="shared" ref="D6:H6" si="3">_xlfn.STDEV.S(K9:K263) * SQRT($J$6)</f>
        <v>0.18455344556050882</v>
      </c>
      <c r="E6" s="34">
        <f t="shared" si="3"/>
        <v>0.18769307701437735</v>
      </c>
      <c r="F6" s="34">
        <f t="shared" si="3"/>
        <v>0.16227155053504655</v>
      </c>
      <c r="G6" s="34">
        <f t="shared" si="3"/>
        <v>0.28580961563408697</v>
      </c>
      <c r="H6" s="34">
        <f t="shared" si="3"/>
        <v>0.12243702300583988</v>
      </c>
      <c r="I6" s="11" t="s">
        <v>56</v>
      </c>
      <c r="J6" s="24">
        <f>COUNT(J9:J262)</f>
        <v>254</v>
      </c>
    </row>
    <row r="7" spans="1:22" x14ac:dyDescent="0.2">
      <c r="C7" s="25"/>
      <c r="D7" s="25"/>
      <c r="E7" s="25"/>
      <c r="F7" s="25"/>
      <c r="G7" s="25"/>
      <c r="H7" s="25"/>
      <c r="J7" s="53" t="s">
        <v>39</v>
      </c>
      <c r="K7" s="53"/>
      <c r="L7" s="53"/>
      <c r="M7" s="53"/>
      <c r="N7" s="53"/>
      <c r="O7" s="53"/>
    </row>
    <row r="8" spans="1:22" ht="16" thickBot="1" x14ac:dyDescent="0.25">
      <c r="B8" s="9" t="s">
        <v>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J8" s="12" t="s">
        <v>7</v>
      </c>
      <c r="K8" s="12" t="s">
        <v>8</v>
      </c>
      <c r="L8" s="12" t="s">
        <v>9</v>
      </c>
      <c r="M8" s="12" t="s">
        <v>10</v>
      </c>
      <c r="N8" s="12" t="s">
        <v>11</v>
      </c>
      <c r="O8" s="12" t="s">
        <v>12</v>
      </c>
    </row>
    <row r="9" spans="1:22" x14ac:dyDescent="0.2">
      <c r="A9" s="10"/>
      <c r="B9" s="1">
        <v>45408</v>
      </c>
      <c r="C9" s="15">
        <f>VLOOKUP(B9, SAN.MC!$A$1:$G$256, 6, 0)</f>
        <v>4.8505000000000003</v>
      </c>
      <c r="D9" s="15">
        <f>VLOOKUP(B9, TEF.MC!$A$1:$G$256, 6, 0)</f>
        <v>4.2220000000000004</v>
      </c>
      <c r="E9">
        <f>VLOOKUP(B9, ACS.MC!$A$1:$G$256, 6, 0)</f>
        <v>37.82</v>
      </c>
      <c r="F9">
        <f>VLOOKUP(B9, IBE.MC!$A$1:$G$256, 6, 0)</f>
        <v>11.61</v>
      </c>
      <c r="G9">
        <f>VLOOKUP(B9, IAG.MC!$A$1:$G$256, 6, 0)</f>
        <v>2.0550000000000002</v>
      </c>
      <c r="H9">
        <f>VLOOKUP(B9, IBEX35!$A$1:$G$256, 6, 0)</f>
        <v>11154.599609000001</v>
      </c>
      <c r="J9" s="13">
        <f>LN(C9/C10)</f>
        <v>2.1358315671779621E-2</v>
      </c>
      <c r="K9" s="13">
        <f t="shared" ref="K9:O9" si="4">LN(D9/D10)</f>
        <v>1.7200615183521853E-2</v>
      </c>
      <c r="L9" s="13">
        <f t="shared" si="4"/>
        <v>3.1779422511476795E-3</v>
      </c>
      <c r="M9" s="13">
        <f t="shared" si="4"/>
        <v>1.3004084423206609E-2</v>
      </c>
      <c r="N9" s="13">
        <f t="shared" si="4"/>
        <v>1.4609206396748698E-3</v>
      </c>
      <c r="O9" s="13">
        <f t="shared" si="4"/>
        <v>1.5439560437506642E-2</v>
      </c>
    </row>
    <row r="10" spans="1:22" x14ac:dyDescent="0.2">
      <c r="B10" s="1">
        <v>45407</v>
      </c>
      <c r="C10" s="15">
        <f>VLOOKUP(B10, SAN.MC!$A$1:$G$256, 6, 0)</f>
        <v>4.7480000000000002</v>
      </c>
      <c r="D10" s="15">
        <f>VLOOKUP(B10, TEF.MC!$A$1:$G$256, 6, 0)</f>
        <v>4.1500000000000004</v>
      </c>
      <c r="E10">
        <f>VLOOKUP(B10, ACS.MC!$A$1:$G$256, 6, 0)</f>
        <v>37.700001</v>
      </c>
      <c r="F10">
        <f>VLOOKUP(B10, IBE.MC!$A$1:$G$256, 6, 0)</f>
        <v>11.46</v>
      </c>
      <c r="G10">
        <f>VLOOKUP(B10, IAG.MC!$A$1:$G$256, 6, 0)</f>
        <v>2.052</v>
      </c>
      <c r="H10">
        <f>VLOOKUP(B10, IBEX35!$A$1:$G$256, 6, 0)</f>
        <v>10983.700194999999</v>
      </c>
      <c r="J10" s="13">
        <f t="shared" ref="J10:J73" si="5">LN(C10/C11)</f>
        <v>-6.6124617742585367E-3</v>
      </c>
      <c r="K10" s="13">
        <f t="shared" ref="K10:K73" si="6">LN(D10/D11)</f>
        <v>7.7407256370093207E-3</v>
      </c>
      <c r="L10" s="13">
        <f t="shared" ref="L10:L73" si="7">LN(E10/E11)</f>
        <v>-1.7355155104895045E-2</v>
      </c>
      <c r="M10" s="13">
        <f t="shared" ref="M10:M73" si="8">LN(F10/F11)</f>
        <v>-6.0896229943739879E-3</v>
      </c>
      <c r="N10" s="13">
        <f t="shared" ref="N10:N73" si="9">LN(G10/G11)</f>
        <v>-3.8910554929665647E-3</v>
      </c>
      <c r="O10" s="13">
        <f t="shared" ref="O10:O73" si="10">LN(H10/H11)</f>
        <v>-4.00696626803718E-3</v>
      </c>
    </row>
    <row r="11" spans="1:22" x14ac:dyDescent="0.2">
      <c r="B11" s="1">
        <v>45406</v>
      </c>
      <c r="C11" s="15">
        <f>VLOOKUP(B11, SAN.MC!$A$1:$G$256, 6, 0)</f>
        <v>4.7794999999999996</v>
      </c>
      <c r="D11" s="15">
        <f>VLOOKUP(B11, TEF.MC!$A$1:$G$256, 6, 0)</f>
        <v>4.1180000000000003</v>
      </c>
      <c r="E11">
        <f>VLOOKUP(B11, ACS.MC!$A$1:$G$256, 6, 0)</f>
        <v>38.360000999999997</v>
      </c>
      <c r="F11">
        <f>VLOOKUP(B11, IBE.MC!$A$1:$G$256, 6, 0)</f>
        <v>11.53</v>
      </c>
      <c r="G11">
        <f>VLOOKUP(B11, IAG.MC!$A$1:$G$256, 6, 0)</f>
        <v>2.06</v>
      </c>
      <c r="H11">
        <f>VLOOKUP(B11, IBEX35!$A$1:$G$256, 6, 0)</f>
        <v>11027.799805000001</v>
      </c>
      <c r="J11" s="13">
        <f t="shared" si="5"/>
        <v>6.717774817376349E-3</v>
      </c>
      <c r="K11" s="13">
        <f t="shared" si="6"/>
        <v>-5.3281792316251545E-3</v>
      </c>
      <c r="L11" s="13">
        <f t="shared" si="7"/>
        <v>-3.1233497134469154E-3</v>
      </c>
      <c r="M11" s="13">
        <f t="shared" si="8"/>
        <v>-8.6692679898583763E-4</v>
      </c>
      <c r="N11" s="13">
        <f t="shared" si="9"/>
        <v>4.8661896511729063E-3</v>
      </c>
      <c r="O11" s="13">
        <f t="shared" si="10"/>
        <v>-4.3071283041207688E-3</v>
      </c>
    </row>
    <row r="12" spans="1:22" x14ac:dyDescent="0.2">
      <c r="B12" s="1">
        <v>45405</v>
      </c>
      <c r="C12" s="15">
        <f>VLOOKUP(B12, SAN.MC!$A$1:$G$256, 6, 0)</f>
        <v>4.7474999999999996</v>
      </c>
      <c r="D12" s="15">
        <f>VLOOKUP(B12, TEF.MC!$A$1:$G$256, 6, 0)</f>
        <v>4.1399999999999997</v>
      </c>
      <c r="E12">
        <f>VLOOKUP(B12, ACS.MC!$A$1:$G$256, 6, 0)</f>
        <v>38.479999999999997</v>
      </c>
      <c r="F12">
        <f>VLOOKUP(B12, IBE.MC!$A$1:$G$256, 6, 0)</f>
        <v>11.54</v>
      </c>
      <c r="G12">
        <f>VLOOKUP(B12, IAG.MC!$A$1:$G$256, 6, 0)</f>
        <v>2.0499999999999998</v>
      </c>
      <c r="H12">
        <f>VLOOKUP(B12, IBEX35!$A$1:$G$256, 6, 0)</f>
        <v>11075.400390999999</v>
      </c>
      <c r="J12" s="13">
        <f t="shared" si="5"/>
        <v>1.7101696736625299E-2</v>
      </c>
      <c r="K12" s="13">
        <f t="shared" si="6"/>
        <v>1.092907053219023E-2</v>
      </c>
      <c r="L12" s="13">
        <f t="shared" si="7"/>
        <v>5.199116379122525E-4</v>
      </c>
      <c r="M12" s="13">
        <f t="shared" si="8"/>
        <v>7.8295310797048007E-3</v>
      </c>
      <c r="N12" s="13">
        <f t="shared" si="9"/>
        <v>8.3272585041072582E-3</v>
      </c>
      <c r="O12" s="13">
        <f t="shared" si="10"/>
        <v>1.6863147808793048E-2</v>
      </c>
    </row>
    <row r="13" spans="1:22" x14ac:dyDescent="0.2">
      <c r="B13" s="1">
        <v>45404</v>
      </c>
      <c r="C13" s="15">
        <f>VLOOKUP(B13, SAN.MC!$A$1:$G$256, 6, 0)</f>
        <v>4.6669999999999998</v>
      </c>
      <c r="D13" s="15">
        <f>VLOOKUP(B13, TEF.MC!$A$1:$G$256, 6, 0)</f>
        <v>4.0949999999999998</v>
      </c>
      <c r="E13">
        <f>VLOOKUP(B13, ACS.MC!$A$1:$G$256, 6, 0)</f>
        <v>38.459999000000003</v>
      </c>
      <c r="F13">
        <f>VLOOKUP(B13, IBE.MC!$A$1:$G$256, 6, 0)</f>
        <v>11.45</v>
      </c>
      <c r="G13">
        <f>VLOOKUP(B13, IAG.MC!$A$1:$G$256, 6, 0)</f>
        <v>2.0329999999999999</v>
      </c>
      <c r="H13">
        <f>VLOOKUP(B13, IBEX35!$A$1:$G$256, 6, 0)</f>
        <v>10890.200194999999</v>
      </c>
      <c r="J13" s="13">
        <f t="shared" si="5"/>
        <v>3.3886774515260246E-2</v>
      </c>
      <c r="K13" s="13">
        <f t="shared" si="6"/>
        <v>2.1723885651025215E-2</v>
      </c>
      <c r="L13" s="13">
        <f t="shared" si="7"/>
        <v>6.2597491831547277E-3</v>
      </c>
      <c r="M13" s="13">
        <f t="shared" si="8"/>
        <v>9.6534317006425601E-3</v>
      </c>
      <c r="N13" s="13">
        <f t="shared" si="9"/>
        <v>3.2494736016147836E-2</v>
      </c>
      <c r="O13" s="13">
        <f t="shared" si="10"/>
        <v>1.4866362920732725E-2</v>
      </c>
    </row>
    <row r="14" spans="1:22" x14ac:dyDescent="0.2">
      <c r="B14" s="1">
        <v>45401</v>
      </c>
      <c r="C14" s="15">
        <f>VLOOKUP(B14, SAN.MC!$A$1:$G$256, 6, 0)</f>
        <v>4.5114999999999998</v>
      </c>
      <c r="D14" s="15">
        <f>VLOOKUP(B14, TEF.MC!$A$1:$G$256, 6, 0)</f>
        <v>4.0069999999999997</v>
      </c>
      <c r="E14">
        <f>VLOOKUP(B14, ACS.MC!$A$1:$G$256, 6, 0)</f>
        <v>38.220001000000003</v>
      </c>
      <c r="F14">
        <f>VLOOKUP(B14, IBE.MC!$A$1:$G$256, 6, 0)</f>
        <v>11.34</v>
      </c>
      <c r="G14">
        <f>VLOOKUP(B14, IAG.MC!$A$1:$G$256, 6, 0)</f>
        <v>1.968</v>
      </c>
      <c r="H14">
        <f>VLOOKUP(B14, IBEX35!$A$1:$G$256, 6, 0)</f>
        <v>10729.5</v>
      </c>
      <c r="J14" s="13">
        <f t="shared" si="5"/>
        <v>-7.2880181242698022E-3</v>
      </c>
      <c r="K14" s="13">
        <f t="shared" si="6"/>
        <v>1.2051363530013737E-2</v>
      </c>
      <c r="L14" s="13">
        <f t="shared" si="7"/>
        <v>-1.5685754850124378E-3</v>
      </c>
      <c r="M14" s="13">
        <f t="shared" si="8"/>
        <v>3.9761483796394168E-3</v>
      </c>
      <c r="N14" s="13">
        <f t="shared" si="9"/>
        <v>-6.5839690863523075E-3</v>
      </c>
      <c r="O14" s="13">
        <f t="shared" si="10"/>
        <v>-3.3031735819152438E-3</v>
      </c>
    </row>
    <row r="15" spans="1:22" x14ac:dyDescent="0.2">
      <c r="B15" s="1">
        <v>45400</v>
      </c>
      <c r="C15" s="15">
        <f>VLOOKUP(B15, SAN.MC!$A$1:$G$256, 6, 0)</f>
        <v>4.5445000000000002</v>
      </c>
      <c r="D15" s="15">
        <f>VLOOKUP(B15, TEF.MC!$A$1:$G$256, 6, 0)</f>
        <v>3.9590000000000001</v>
      </c>
      <c r="E15">
        <f>VLOOKUP(B15, ACS.MC!$A$1:$G$256, 6, 0)</f>
        <v>38.279998999999997</v>
      </c>
      <c r="F15">
        <f>VLOOKUP(B15, IBE.MC!$A$1:$G$256, 6, 0)</f>
        <v>11.295</v>
      </c>
      <c r="G15">
        <f>VLOOKUP(B15, IAG.MC!$A$1:$G$256, 6, 0)</f>
        <v>1.9810000000000001</v>
      </c>
      <c r="H15">
        <f>VLOOKUP(B15, IBEX35!$A$1:$G$256, 6, 0)</f>
        <v>10765</v>
      </c>
      <c r="J15" s="13">
        <f t="shared" si="5"/>
        <v>2.8230605578762717E-2</v>
      </c>
      <c r="K15" s="13">
        <f t="shared" si="6"/>
        <v>1.1687124895718229E-2</v>
      </c>
      <c r="L15" s="13">
        <f t="shared" si="7"/>
        <v>-9.8779333187336629E-3</v>
      </c>
      <c r="M15" s="13">
        <f t="shared" si="8"/>
        <v>7.5539128358978781E-3</v>
      </c>
      <c r="N15" s="13">
        <f t="shared" si="9"/>
        <v>5.3927010112042116E-2</v>
      </c>
      <c r="O15" s="13">
        <f t="shared" si="10"/>
        <v>1.2253082808330741E-2</v>
      </c>
    </row>
    <row r="16" spans="1:22" x14ac:dyDescent="0.2">
      <c r="B16" s="1">
        <v>45399</v>
      </c>
      <c r="C16" s="15">
        <f>VLOOKUP(B16, SAN.MC!$A$1:$G$256, 6, 0)</f>
        <v>4.4180000000000001</v>
      </c>
      <c r="D16" s="15">
        <f>VLOOKUP(B16, TEF.MC!$A$1:$G$256, 6, 0)</f>
        <v>3.9129999999999998</v>
      </c>
      <c r="E16">
        <f>VLOOKUP(B16, ACS.MC!$A$1:$G$256, 6, 0)</f>
        <v>38.659999999999997</v>
      </c>
      <c r="F16">
        <f>VLOOKUP(B16, IBE.MC!$A$1:$G$256, 6, 0)</f>
        <v>11.21</v>
      </c>
      <c r="G16">
        <f>VLOOKUP(B16, IAG.MC!$A$1:$G$256, 6, 0)</f>
        <v>1.877</v>
      </c>
      <c r="H16">
        <f>VLOOKUP(B16, IBEX35!$A$1:$G$256, 6, 0)</f>
        <v>10633.900390999999</v>
      </c>
      <c r="J16" s="13">
        <f t="shared" si="5"/>
        <v>1.3903357862620253E-2</v>
      </c>
      <c r="K16" s="13">
        <f t="shared" si="6"/>
        <v>7.4387927991970025E-3</v>
      </c>
      <c r="L16" s="13">
        <f t="shared" si="7"/>
        <v>1.3541899827104428E-2</v>
      </c>
      <c r="M16" s="13">
        <f t="shared" si="8"/>
        <v>7.1620717966149839E-3</v>
      </c>
      <c r="N16" s="13">
        <f t="shared" si="9"/>
        <v>1.6924514116455527E-2</v>
      </c>
      <c r="O16" s="13">
        <f t="shared" si="10"/>
        <v>1.0113125023529523E-2</v>
      </c>
      <c r="Q16" s="54" t="s">
        <v>55</v>
      </c>
      <c r="R16" s="54"/>
      <c r="S16" s="54"/>
      <c r="T16" s="54"/>
      <c r="U16" s="54"/>
    </row>
    <row r="17" spans="2:15" x14ac:dyDescent="0.2">
      <c r="B17" s="1">
        <v>45398</v>
      </c>
      <c r="C17" s="15">
        <f>VLOOKUP(B17, SAN.MC!$A$1:$G$256, 6, 0)</f>
        <v>4.3570000000000002</v>
      </c>
      <c r="D17" s="15">
        <f>VLOOKUP(B17, TEF.MC!$A$1:$G$256, 6, 0)</f>
        <v>3.8839999999999999</v>
      </c>
      <c r="E17">
        <f>VLOOKUP(B17, ACS.MC!$A$1:$G$256, 6, 0)</f>
        <v>38.139999000000003</v>
      </c>
      <c r="F17">
        <f>VLOOKUP(B17, IBE.MC!$A$1:$G$256, 6, 0)</f>
        <v>11.13</v>
      </c>
      <c r="G17">
        <f>VLOOKUP(B17, IAG.MC!$A$1:$G$256, 6, 0)</f>
        <v>1.8454999999999999</v>
      </c>
      <c r="H17">
        <f>VLOOKUP(B17, IBEX35!$A$1:$G$256, 6, 0)</f>
        <v>10526.900390999999</v>
      </c>
      <c r="J17" s="13">
        <f t="shared" si="5"/>
        <v>-2.5716512057930629E-2</v>
      </c>
      <c r="K17" s="13">
        <f t="shared" si="6"/>
        <v>-9.9911167983371216E-3</v>
      </c>
      <c r="L17" s="13">
        <f t="shared" si="7"/>
        <v>1.3196285803383005E-2</v>
      </c>
      <c r="M17" s="13">
        <f t="shared" si="8"/>
        <v>-1.161245742409074E-2</v>
      </c>
      <c r="N17" s="13">
        <f t="shared" si="9"/>
        <v>-1.9319087563438742E-2</v>
      </c>
      <c r="O17" s="13">
        <f t="shared" si="10"/>
        <v>-1.5112858955125267E-2</v>
      </c>
    </row>
    <row r="18" spans="2:15" x14ac:dyDescent="0.2">
      <c r="B18" s="1">
        <v>45397</v>
      </c>
      <c r="C18" s="15">
        <f>VLOOKUP(B18, SAN.MC!$A$1:$G$256, 6, 0)</f>
        <v>4.4705000000000004</v>
      </c>
      <c r="D18" s="15">
        <f>VLOOKUP(B18, TEF.MC!$A$1:$G$256, 6, 0)</f>
        <v>3.923</v>
      </c>
      <c r="E18">
        <f>VLOOKUP(B18, ACS.MC!$A$1:$G$256, 6, 0)</f>
        <v>37.639999000000003</v>
      </c>
      <c r="F18">
        <f>VLOOKUP(B18, IBE.MC!$A$1:$G$256, 6, 0)</f>
        <v>11.26</v>
      </c>
      <c r="G18">
        <f>VLOOKUP(B18, IAG.MC!$A$1:$G$256, 6, 0)</f>
        <v>1.8815</v>
      </c>
      <c r="H18">
        <f>VLOOKUP(B18, IBEX35!$A$1:$G$256, 6, 0)</f>
        <v>10687.200194999999</v>
      </c>
      <c r="J18" s="13">
        <f t="shared" si="5"/>
        <v>5.0457022449544343E-3</v>
      </c>
      <c r="K18" s="13">
        <f t="shared" si="6"/>
        <v>-9.1348008965780134E-3</v>
      </c>
      <c r="L18" s="13">
        <f t="shared" si="7"/>
        <v>-7.4113364945063813E-3</v>
      </c>
      <c r="M18" s="13">
        <f t="shared" si="8"/>
        <v>8.8849406111523492E-4</v>
      </c>
      <c r="N18" s="13">
        <f t="shared" si="9"/>
        <v>-1.0310732454937205E-2</v>
      </c>
      <c r="O18" s="13">
        <f t="shared" si="10"/>
        <v>1.1230840401170728E-4</v>
      </c>
    </row>
    <row r="19" spans="2:15" x14ac:dyDescent="0.2">
      <c r="B19" s="1">
        <v>45394</v>
      </c>
      <c r="C19" s="15">
        <f>VLOOKUP(B19, SAN.MC!$A$1:$G$256, 6, 0)</f>
        <v>4.4480000000000004</v>
      </c>
      <c r="D19" s="15">
        <f>VLOOKUP(B19, TEF.MC!$A$1:$G$256, 6, 0)</f>
        <v>3.9590000000000001</v>
      </c>
      <c r="E19">
        <f>VLOOKUP(B19, ACS.MC!$A$1:$G$256, 6, 0)</f>
        <v>37.919998</v>
      </c>
      <c r="F19">
        <f>VLOOKUP(B19, IBE.MC!$A$1:$G$256, 6, 0)</f>
        <v>11.25</v>
      </c>
      <c r="G19">
        <f>VLOOKUP(B19, IAG.MC!$A$1:$G$256, 6, 0)</f>
        <v>1.901</v>
      </c>
      <c r="H19">
        <f>VLOOKUP(B19, IBEX35!$A$1:$G$256, 6, 0)</f>
        <v>10686</v>
      </c>
      <c r="J19" s="13">
        <f t="shared" si="5"/>
        <v>-1.7969456767016304E-3</v>
      </c>
      <c r="K19" s="13">
        <f t="shared" si="6"/>
        <v>7.3520422428237364E-3</v>
      </c>
      <c r="L19" s="13">
        <f t="shared" si="7"/>
        <v>8.4746274398454762E-3</v>
      </c>
      <c r="M19" s="13">
        <f t="shared" si="8"/>
        <v>1.1173300598125255E-2</v>
      </c>
      <c r="N19" s="13">
        <f t="shared" si="9"/>
        <v>-3.7175163534186213E-2</v>
      </c>
      <c r="O19" s="13">
        <f t="shared" si="10"/>
        <v>3.3933792094057039E-3</v>
      </c>
    </row>
    <row r="20" spans="2:15" x14ac:dyDescent="0.2">
      <c r="B20" s="1">
        <v>45393</v>
      </c>
      <c r="C20" s="15">
        <f>VLOOKUP(B20, SAN.MC!$A$1:$G$256, 6, 0)</f>
        <v>4.4560000000000004</v>
      </c>
      <c r="D20" s="15">
        <f>VLOOKUP(B20, TEF.MC!$A$1:$G$256, 6, 0)</f>
        <v>3.93</v>
      </c>
      <c r="E20">
        <f>VLOOKUP(B20, ACS.MC!$A$1:$G$256, 6, 0)</f>
        <v>37.599997999999999</v>
      </c>
      <c r="F20">
        <f>VLOOKUP(B20, IBE.MC!$A$1:$G$256, 6, 0)</f>
        <v>11.125</v>
      </c>
      <c r="G20">
        <f>VLOOKUP(B20, IAG.MC!$A$1:$G$256, 6, 0)</f>
        <v>1.9730000000000001</v>
      </c>
      <c r="H20">
        <f>VLOOKUP(B20, IBEX35!$A$1:$G$256, 6, 0)</f>
        <v>10649.799805000001</v>
      </c>
      <c r="J20" s="13">
        <f t="shared" si="5"/>
        <v>-2.6683011217714072E-2</v>
      </c>
      <c r="K20" s="13">
        <f t="shared" si="6"/>
        <v>-2.5412974286725325E-3</v>
      </c>
      <c r="L20" s="13">
        <f t="shared" si="7"/>
        <v>1.5969394077432E-3</v>
      </c>
      <c r="M20" s="13">
        <f t="shared" si="8"/>
        <v>1.0390877317715303E-2</v>
      </c>
      <c r="N20" s="13">
        <f t="shared" si="9"/>
        <v>-3.9259700268044789E-2</v>
      </c>
      <c r="O20" s="13">
        <f t="shared" si="10"/>
        <v>-1.168754166363754E-2</v>
      </c>
    </row>
    <row r="21" spans="2:15" x14ac:dyDescent="0.2">
      <c r="B21" s="1">
        <v>45392</v>
      </c>
      <c r="C21" s="15">
        <f>VLOOKUP(B21, SAN.MC!$A$1:$G$256, 6, 0)</f>
        <v>4.5765000000000002</v>
      </c>
      <c r="D21" s="15">
        <f>VLOOKUP(B21, TEF.MC!$A$1:$G$256, 6, 0)</f>
        <v>3.94</v>
      </c>
      <c r="E21">
        <f>VLOOKUP(B21, ACS.MC!$A$1:$G$256, 6, 0)</f>
        <v>37.540000999999997</v>
      </c>
      <c r="F21">
        <f>VLOOKUP(B21, IBE.MC!$A$1:$G$256, 6, 0)</f>
        <v>11.01</v>
      </c>
      <c r="G21">
        <f>VLOOKUP(B21, IAG.MC!$A$1:$G$256, 6, 0)</f>
        <v>2.052</v>
      </c>
      <c r="H21">
        <f>VLOOKUP(B21, IBEX35!$A$1:$G$256, 6, 0)</f>
        <v>10775</v>
      </c>
      <c r="J21" s="13">
        <f t="shared" si="5"/>
        <v>2.4064767684393151E-3</v>
      </c>
      <c r="K21" s="13">
        <f t="shared" si="6"/>
        <v>-8.5924208197826913E-3</v>
      </c>
      <c r="L21" s="13">
        <f t="shared" si="7"/>
        <v>-6.3727778077169754E-3</v>
      </c>
      <c r="M21" s="13">
        <f t="shared" si="8"/>
        <v>-1.039087731771535E-2</v>
      </c>
      <c r="N21" s="13">
        <f t="shared" si="9"/>
        <v>8.3191084139648246E-3</v>
      </c>
      <c r="O21" s="13">
        <f t="shared" si="10"/>
        <v>-3.7978833107968424E-3</v>
      </c>
    </row>
    <row r="22" spans="2:15" x14ac:dyDescent="0.2">
      <c r="B22" s="1">
        <v>45391</v>
      </c>
      <c r="C22" s="15">
        <f>VLOOKUP(B22, SAN.MC!$A$1:$G$256, 6, 0)</f>
        <v>4.5655000000000001</v>
      </c>
      <c r="D22" s="15">
        <f>VLOOKUP(B22, TEF.MC!$A$1:$G$256, 6, 0)</f>
        <v>3.9740000000000002</v>
      </c>
      <c r="E22">
        <f>VLOOKUP(B22, ACS.MC!$A$1:$G$256, 6, 0)</f>
        <v>37.779998999999997</v>
      </c>
      <c r="F22">
        <f>VLOOKUP(B22, IBE.MC!$A$1:$G$256, 6, 0)</f>
        <v>11.125</v>
      </c>
      <c r="G22">
        <f>VLOOKUP(B22, IAG.MC!$A$1:$G$256, 6, 0)</f>
        <v>2.0350000000000001</v>
      </c>
      <c r="H22">
        <f>VLOOKUP(B22, IBEX35!$A$1:$G$256, 6, 0)</f>
        <v>10816</v>
      </c>
      <c r="J22" s="13">
        <f t="shared" si="5"/>
        <v>-1.6401823184780961E-2</v>
      </c>
      <c r="K22" s="13">
        <f t="shared" si="6"/>
        <v>7.5519198051072676E-4</v>
      </c>
      <c r="L22" s="13">
        <f t="shared" si="7"/>
        <v>-2.6434591127005133E-3</v>
      </c>
      <c r="M22" s="13">
        <f t="shared" si="8"/>
        <v>-5.3787668897891001E-3</v>
      </c>
      <c r="N22" s="13">
        <f t="shared" si="9"/>
        <v>-5.8794877845941658E-3</v>
      </c>
      <c r="O22" s="13">
        <f t="shared" si="10"/>
        <v>-8.8182353162199745E-3</v>
      </c>
    </row>
    <row r="23" spans="2:15" x14ac:dyDescent="0.2">
      <c r="B23" s="1">
        <v>45390</v>
      </c>
      <c r="C23" s="15">
        <f>VLOOKUP(B23, SAN.MC!$A$1:$G$256, 6, 0)</f>
        <v>4.641</v>
      </c>
      <c r="D23" s="15">
        <f>VLOOKUP(B23, TEF.MC!$A$1:$G$256, 6, 0)</f>
        <v>3.9710000000000001</v>
      </c>
      <c r="E23">
        <f>VLOOKUP(B23, ACS.MC!$A$1:$G$256, 6, 0)</f>
        <v>37.880001</v>
      </c>
      <c r="F23">
        <f>VLOOKUP(B23, IBE.MC!$A$1:$G$256, 6, 0)</f>
        <v>11.185</v>
      </c>
      <c r="G23">
        <f>VLOOKUP(B23, IAG.MC!$A$1:$G$256, 6, 0)</f>
        <v>2.0470000000000002</v>
      </c>
      <c r="H23">
        <f>VLOOKUP(B23, IBEX35!$A$1:$G$256, 6, 0)</f>
        <v>10911.799805000001</v>
      </c>
      <c r="J23" s="13">
        <f t="shared" si="5"/>
        <v>1.1812654291465522E-2</v>
      </c>
      <c r="K23" s="13">
        <f t="shared" si="6"/>
        <v>-1.5098140764390887E-3</v>
      </c>
      <c r="L23" s="13">
        <f t="shared" si="7"/>
        <v>-5.2787014179547743E-4</v>
      </c>
      <c r="M23" s="13">
        <f t="shared" si="8"/>
        <v>-5.7945337083362006E-3</v>
      </c>
      <c r="N23" s="13">
        <f t="shared" si="9"/>
        <v>2.3728251160889537E-2</v>
      </c>
      <c r="O23" s="13">
        <f t="shared" si="10"/>
        <v>-3.8484822926380496E-4</v>
      </c>
    </row>
    <row r="24" spans="2:15" x14ac:dyDescent="0.2">
      <c r="B24" s="1">
        <v>45387</v>
      </c>
      <c r="C24" s="15">
        <f>VLOOKUP(B24, SAN.MC!$A$1:$G$256, 6, 0)</f>
        <v>4.5865</v>
      </c>
      <c r="D24" s="15">
        <f>VLOOKUP(B24, TEF.MC!$A$1:$G$256, 6, 0)</f>
        <v>3.9769999999999999</v>
      </c>
      <c r="E24">
        <f>VLOOKUP(B24, ACS.MC!$A$1:$G$256, 6, 0)</f>
        <v>37.900002000000001</v>
      </c>
      <c r="F24">
        <f>VLOOKUP(B24, IBE.MC!$A$1:$G$256, 6, 0)</f>
        <v>11.25</v>
      </c>
      <c r="G24">
        <f>VLOOKUP(B24, IAG.MC!$A$1:$G$256, 6, 0)</f>
        <v>1.9990000000000001</v>
      </c>
      <c r="H24">
        <f>VLOOKUP(B24, IBEX35!$A$1:$G$256, 6, 0)</f>
        <v>10916</v>
      </c>
      <c r="J24" s="13">
        <f t="shared" si="5"/>
        <v>-1.9218902925791304E-2</v>
      </c>
      <c r="K24" s="13">
        <f t="shared" si="6"/>
        <v>-2.0901482478607212E-2</v>
      </c>
      <c r="L24" s="13">
        <f t="shared" si="7"/>
        <v>-8.9309756256265027E-3</v>
      </c>
      <c r="M24" s="13">
        <f t="shared" si="8"/>
        <v>-1.5873349156290122E-2</v>
      </c>
      <c r="N24" s="13">
        <f t="shared" si="9"/>
        <v>-3.102933007650506E-2</v>
      </c>
      <c r="O24" s="13">
        <f t="shared" si="10"/>
        <v>-1.5895384670453476E-2</v>
      </c>
    </row>
    <row r="25" spans="2:15" x14ac:dyDescent="0.2">
      <c r="B25" s="1">
        <v>45386</v>
      </c>
      <c r="C25" s="15">
        <f>VLOOKUP(B25, SAN.MC!$A$1:$G$256, 6, 0)</f>
        <v>4.6755000000000004</v>
      </c>
      <c r="D25" s="15">
        <f>VLOOKUP(B25, TEF.MC!$A$1:$G$256, 6, 0)</f>
        <v>4.0609999999999999</v>
      </c>
      <c r="E25">
        <f>VLOOKUP(B25, ACS.MC!$A$1:$G$256, 6, 0)</f>
        <v>38.240001999999997</v>
      </c>
      <c r="F25">
        <f>VLOOKUP(B25, IBE.MC!$A$1:$G$256, 6, 0)</f>
        <v>11.43</v>
      </c>
      <c r="G25">
        <f>VLOOKUP(B25, IAG.MC!$A$1:$G$256, 6, 0)</f>
        <v>2.0619999999999998</v>
      </c>
      <c r="H25">
        <f>VLOOKUP(B25, IBEX35!$A$1:$G$256, 6, 0)</f>
        <v>11090.900390999999</v>
      </c>
      <c r="J25" s="13">
        <f t="shared" si="5"/>
        <v>1.9873210473671233E-2</v>
      </c>
      <c r="K25" s="13">
        <f t="shared" si="6"/>
        <v>4.1949475459359094E-3</v>
      </c>
      <c r="L25" s="13">
        <f t="shared" si="7"/>
        <v>-1.247414775036795E-2</v>
      </c>
      <c r="M25" s="13">
        <f t="shared" si="8"/>
        <v>1.75131393273488E-3</v>
      </c>
      <c r="N25" s="13">
        <f t="shared" si="9"/>
        <v>1.0726577738643122E-2</v>
      </c>
      <c r="O25" s="13">
        <f t="shared" si="10"/>
        <v>5.2976714520918721E-3</v>
      </c>
    </row>
    <row r="26" spans="2:15" x14ac:dyDescent="0.2">
      <c r="B26" s="1">
        <v>45385</v>
      </c>
      <c r="C26" s="15">
        <f>VLOOKUP(B26, SAN.MC!$A$1:$G$256, 6, 0)</f>
        <v>4.5834999999999999</v>
      </c>
      <c r="D26" s="15">
        <f>VLOOKUP(B26, TEF.MC!$A$1:$G$256, 6, 0)</f>
        <v>4.0439999999999996</v>
      </c>
      <c r="E26">
        <f>VLOOKUP(B26, ACS.MC!$A$1:$G$256, 6, 0)</f>
        <v>38.720001000000003</v>
      </c>
      <c r="F26">
        <f>VLOOKUP(B26, IBE.MC!$A$1:$G$256, 6, 0)</f>
        <v>11.41</v>
      </c>
      <c r="G26">
        <f>VLOOKUP(B26, IAG.MC!$A$1:$G$256, 6, 0)</f>
        <v>2.04</v>
      </c>
      <c r="H26">
        <f>VLOOKUP(B26, IBEX35!$A$1:$G$256, 6, 0)</f>
        <v>11032.299805000001</v>
      </c>
      <c r="J26" s="13">
        <f t="shared" si="5"/>
        <v>1.5057711550744651E-2</v>
      </c>
      <c r="K26" s="13">
        <f t="shared" si="6"/>
        <v>-5.9171770280885072E-3</v>
      </c>
      <c r="L26" s="13">
        <f t="shared" si="7"/>
        <v>6.2176624373166721E-3</v>
      </c>
      <c r="M26" s="13">
        <f t="shared" si="8"/>
        <v>-2.1886636007601816E-3</v>
      </c>
      <c r="N26" s="13">
        <f t="shared" si="9"/>
        <v>2.9455102297569658E-3</v>
      </c>
      <c r="O26" s="13">
        <f t="shared" si="10"/>
        <v>5.1527245181566209E-3</v>
      </c>
    </row>
    <row r="27" spans="2:15" x14ac:dyDescent="0.2">
      <c r="B27" s="1">
        <v>45384</v>
      </c>
      <c r="C27" s="15">
        <f>VLOOKUP(B27, SAN.MC!$A$1:$G$256, 6, 0)</f>
        <v>4.5149999999999997</v>
      </c>
      <c r="D27" s="15">
        <f>VLOOKUP(B27, TEF.MC!$A$1:$G$256, 6, 0)</f>
        <v>4.0679999999999996</v>
      </c>
      <c r="E27">
        <f>VLOOKUP(B27, ACS.MC!$A$1:$G$256, 6, 0)</f>
        <v>38.479999999999997</v>
      </c>
      <c r="F27">
        <f>VLOOKUP(B27, IBE.MC!$A$1:$G$256, 6, 0)</f>
        <v>11.435</v>
      </c>
      <c r="G27">
        <f>VLOOKUP(B27, IAG.MC!$A$1:$G$256, 6, 0)</f>
        <v>2.0339999999999998</v>
      </c>
      <c r="H27">
        <f>VLOOKUP(B27, IBEX35!$A$1:$G$256, 6, 0)</f>
        <v>10975.599609000001</v>
      </c>
      <c r="J27" s="13">
        <f t="shared" si="5"/>
        <v>-1.4386103294490324E-3</v>
      </c>
      <c r="K27" s="13">
        <f t="shared" si="6"/>
        <v>-5.1489631961918929E-3</v>
      </c>
      <c r="L27" s="13">
        <f t="shared" si="7"/>
        <v>-7.7659982305117396E-3</v>
      </c>
      <c r="M27" s="13">
        <f t="shared" si="8"/>
        <v>-5.2333307404002737E-3</v>
      </c>
      <c r="N27" s="13">
        <f t="shared" si="9"/>
        <v>-1.7544309650909508E-2</v>
      </c>
      <c r="O27" s="13">
        <f t="shared" si="10"/>
        <v>-8.979571045148068E-3</v>
      </c>
    </row>
    <row r="28" spans="2:15" x14ac:dyDescent="0.2">
      <c r="B28" s="1">
        <v>45379</v>
      </c>
      <c r="C28" s="15">
        <f>VLOOKUP(B28, SAN.MC!$A$1:$G$256, 6, 0)</f>
        <v>4.5214999999999996</v>
      </c>
      <c r="D28" s="15">
        <f>VLOOKUP(B28, TEF.MC!$A$1:$G$256, 6, 0)</f>
        <v>4.0890000000000004</v>
      </c>
      <c r="E28">
        <f>VLOOKUP(B28, ACS.MC!$A$1:$G$256, 6, 0)</f>
        <v>38.779998999999997</v>
      </c>
      <c r="F28">
        <f>VLOOKUP(B28, IBE.MC!$A$1:$G$256, 6, 0)</f>
        <v>11.494999999999999</v>
      </c>
      <c r="G28">
        <f>VLOOKUP(B28, IAG.MC!$A$1:$G$256, 6, 0)</f>
        <v>2.0699999999999998</v>
      </c>
      <c r="H28">
        <f>VLOOKUP(B28, IBEX35!$A$1:$G$256, 6, 0)</f>
        <v>11074.599609000001</v>
      </c>
      <c r="J28" s="13">
        <f t="shared" si="5"/>
        <v>4.0999558789631676E-3</v>
      </c>
      <c r="K28" s="13">
        <f t="shared" si="6"/>
        <v>0</v>
      </c>
      <c r="L28" s="13">
        <f t="shared" si="7"/>
        <v>-3.1974355394026918E-2</v>
      </c>
      <c r="M28" s="13">
        <f t="shared" si="8"/>
        <v>-9.9546374946552635E-3</v>
      </c>
      <c r="N28" s="13">
        <f t="shared" si="9"/>
        <v>3.5401927050915792E-2</v>
      </c>
      <c r="O28" s="13">
        <f t="shared" si="10"/>
        <v>-3.3084283662268375E-3</v>
      </c>
    </row>
    <row r="29" spans="2:15" x14ac:dyDescent="0.2">
      <c r="B29" s="1">
        <v>45378</v>
      </c>
      <c r="C29" s="15">
        <f>VLOOKUP(B29, SAN.MC!$A$1:$G$256, 6, 0)</f>
        <v>4.5030000000000001</v>
      </c>
      <c r="D29" s="15">
        <f>VLOOKUP(B29, TEF.MC!$A$1:$G$256, 6, 0)</f>
        <v>4.0890000000000004</v>
      </c>
      <c r="E29">
        <f>VLOOKUP(B29, ACS.MC!$A$1:$G$256, 6, 0)</f>
        <v>40.040000999999997</v>
      </c>
      <c r="F29">
        <f>VLOOKUP(B29, IBE.MC!$A$1:$G$256, 6, 0)</f>
        <v>11.61</v>
      </c>
      <c r="G29">
        <f>VLOOKUP(B29, IAG.MC!$A$1:$G$256, 6, 0)</f>
        <v>1.998</v>
      </c>
      <c r="H29">
        <f>VLOOKUP(B29, IBEX35!$A$1:$G$256, 6, 0)</f>
        <v>11111.299805000001</v>
      </c>
      <c r="J29" s="13">
        <f t="shared" si="5"/>
        <v>9.5950752874618215E-3</v>
      </c>
      <c r="K29" s="13">
        <f t="shared" si="6"/>
        <v>6.3788243769156983E-3</v>
      </c>
      <c r="L29" s="13">
        <f t="shared" si="7"/>
        <v>9.9952530810815642E-4</v>
      </c>
      <c r="M29" s="13">
        <f t="shared" si="8"/>
        <v>1.5187968235055603E-2</v>
      </c>
      <c r="N29" s="13">
        <f t="shared" si="9"/>
        <v>3.2814848161147131E-2</v>
      </c>
      <c r="O29" s="13">
        <f t="shared" si="10"/>
        <v>1.0840344139637272E-2</v>
      </c>
    </row>
    <row r="30" spans="2:15" x14ac:dyDescent="0.2">
      <c r="B30" s="1">
        <v>45377</v>
      </c>
      <c r="C30" s="15">
        <f>VLOOKUP(B30, SAN.MC!$A$1:$G$256, 6, 0)</f>
        <v>4.46</v>
      </c>
      <c r="D30" s="15">
        <f>VLOOKUP(B30, TEF.MC!$A$1:$G$256, 6, 0)</f>
        <v>4.0629999999999997</v>
      </c>
      <c r="E30">
        <f>VLOOKUP(B30, ACS.MC!$A$1:$G$256, 6, 0)</f>
        <v>40</v>
      </c>
      <c r="F30">
        <f>VLOOKUP(B30, IBE.MC!$A$1:$G$256, 6, 0)</f>
        <v>11.435</v>
      </c>
      <c r="G30">
        <f>VLOOKUP(B30, IAG.MC!$A$1:$G$256, 6, 0)</f>
        <v>1.9335</v>
      </c>
      <c r="H30">
        <f>VLOOKUP(B30, IBEX35!$A$1:$G$256, 6, 0)</f>
        <v>10991.5</v>
      </c>
      <c r="J30" s="13">
        <f t="shared" si="5"/>
        <v>1.0480740553822161E-2</v>
      </c>
      <c r="K30" s="13">
        <f t="shared" si="6"/>
        <v>1.8130386103817384E-2</v>
      </c>
      <c r="L30" s="13">
        <f t="shared" si="7"/>
        <v>-1.7484705341169404E-3</v>
      </c>
      <c r="M30" s="13">
        <f t="shared" si="8"/>
        <v>4.8213987765596475E-3</v>
      </c>
      <c r="N30" s="13">
        <f t="shared" si="9"/>
        <v>1.9058141112337511E-2</v>
      </c>
      <c r="O30" s="13">
        <f t="shared" si="10"/>
        <v>3.581879689236369E-3</v>
      </c>
    </row>
    <row r="31" spans="2:15" x14ac:dyDescent="0.2">
      <c r="B31" s="1">
        <v>45376</v>
      </c>
      <c r="C31" s="15">
        <f>VLOOKUP(B31, SAN.MC!$A$1:$G$256, 6, 0)</f>
        <v>4.4135</v>
      </c>
      <c r="D31" s="15">
        <f>VLOOKUP(B31, TEF.MC!$A$1:$G$256, 6, 0)</f>
        <v>3.99</v>
      </c>
      <c r="E31">
        <f>VLOOKUP(B31, ACS.MC!$A$1:$G$256, 6, 0)</f>
        <v>40.07</v>
      </c>
      <c r="F31">
        <f>VLOOKUP(B31, IBE.MC!$A$1:$G$256, 6, 0)</f>
        <v>11.38</v>
      </c>
      <c r="G31">
        <f>VLOOKUP(B31, IAG.MC!$A$1:$G$256, 6, 0)</f>
        <v>1.897</v>
      </c>
      <c r="H31">
        <f>VLOOKUP(B31, IBEX35!$A$1:$G$256, 6, 0)</f>
        <v>10952.200194999999</v>
      </c>
      <c r="J31" s="13">
        <f t="shared" si="5"/>
        <v>1.070625260649994E-2</v>
      </c>
      <c r="K31" s="13">
        <f t="shared" si="6"/>
        <v>5.2770571008438193E-3</v>
      </c>
      <c r="L31" s="13">
        <f t="shared" si="7"/>
        <v>-9.6858823757773032E-3</v>
      </c>
      <c r="M31" s="13">
        <f t="shared" si="8"/>
        <v>7.9400505366144375E-3</v>
      </c>
      <c r="N31" s="13">
        <f t="shared" si="9"/>
        <v>-9.7049942056894791E-3</v>
      </c>
      <c r="O31" s="13">
        <f t="shared" si="10"/>
        <v>8.2209051641587007E-4</v>
      </c>
    </row>
    <row r="32" spans="2:15" x14ac:dyDescent="0.2">
      <c r="B32" s="1">
        <v>45373</v>
      </c>
      <c r="C32" s="15">
        <f>VLOOKUP(B32, SAN.MC!$A$1:$G$256, 6, 0)</f>
        <v>4.3665000000000003</v>
      </c>
      <c r="D32" s="15">
        <f>VLOOKUP(B32, TEF.MC!$A$1:$G$256, 6, 0)</f>
        <v>3.9689999999999999</v>
      </c>
      <c r="E32">
        <f>VLOOKUP(B32, ACS.MC!$A$1:$G$256, 6, 0)</f>
        <v>40.459999000000003</v>
      </c>
      <c r="F32">
        <f>VLOOKUP(B32, IBE.MC!$A$1:$G$256, 6, 0)</f>
        <v>11.29</v>
      </c>
      <c r="G32">
        <f>VLOOKUP(B32, IAG.MC!$A$1:$G$256, 6, 0)</f>
        <v>1.9155</v>
      </c>
      <c r="H32">
        <f>VLOOKUP(B32, IBEX35!$A$1:$G$256, 6, 0)</f>
        <v>10943.200194999999</v>
      </c>
      <c r="J32" s="13">
        <f t="shared" si="5"/>
        <v>2.0476162211436905E-2</v>
      </c>
      <c r="K32" s="13">
        <f t="shared" si="6"/>
        <v>3.5335725813110445E-3</v>
      </c>
      <c r="L32" s="13">
        <f t="shared" si="7"/>
        <v>-3.207923826975941E-3</v>
      </c>
      <c r="M32" s="13">
        <f t="shared" si="8"/>
        <v>1.4722550109266741E-2</v>
      </c>
      <c r="N32" s="13">
        <f t="shared" si="9"/>
        <v>-1.3997118101098736E-2</v>
      </c>
      <c r="O32" s="13">
        <f t="shared" si="10"/>
        <v>6.9415927315723538E-3</v>
      </c>
    </row>
    <row r="33" spans="2:15" x14ac:dyDescent="0.2">
      <c r="B33" s="1">
        <v>45372</v>
      </c>
      <c r="C33" s="15">
        <f>VLOOKUP(B33, SAN.MC!$A$1:$G$256, 6, 0)</f>
        <v>4.2779999999999996</v>
      </c>
      <c r="D33" s="15">
        <f>VLOOKUP(B33, TEF.MC!$A$1:$G$256, 6, 0)</f>
        <v>3.9550000000000001</v>
      </c>
      <c r="E33">
        <f>VLOOKUP(B33, ACS.MC!$A$1:$G$256, 6, 0)</f>
        <v>40.590000000000003</v>
      </c>
      <c r="F33">
        <f>VLOOKUP(B33, IBE.MC!$A$1:$G$256, 6, 0)</f>
        <v>11.125</v>
      </c>
      <c r="G33">
        <f>VLOOKUP(B33, IAG.MC!$A$1:$G$256, 6, 0)</f>
        <v>1.9424999999999999</v>
      </c>
      <c r="H33">
        <f>VLOOKUP(B33, IBEX35!$A$1:$G$256, 6, 0)</f>
        <v>10867.5</v>
      </c>
      <c r="J33" s="13">
        <f t="shared" si="5"/>
        <v>2.0784876726167429E-2</v>
      </c>
      <c r="K33" s="13">
        <f t="shared" si="6"/>
        <v>9.3992816972682143E-3</v>
      </c>
      <c r="L33" s="13">
        <f t="shared" si="7"/>
        <v>5.930385701144859E-3</v>
      </c>
      <c r="M33" s="13">
        <f t="shared" si="8"/>
        <v>4.5045121211047291E-3</v>
      </c>
      <c r="N33" s="13">
        <f t="shared" si="9"/>
        <v>2.5020851783146954E-2</v>
      </c>
      <c r="O33" s="13">
        <f t="shared" si="10"/>
        <v>1.0638398205055797E-2</v>
      </c>
    </row>
    <row r="34" spans="2:15" x14ac:dyDescent="0.2">
      <c r="B34" s="1">
        <v>45371</v>
      </c>
      <c r="C34" s="15">
        <f>VLOOKUP(B34, SAN.MC!$A$1:$G$256, 6, 0)</f>
        <v>4.1900000000000004</v>
      </c>
      <c r="D34" s="15">
        <f>VLOOKUP(B34, TEF.MC!$A$1:$G$256, 6, 0)</f>
        <v>3.9180000000000001</v>
      </c>
      <c r="E34">
        <f>VLOOKUP(B34, ACS.MC!$A$1:$G$256, 6, 0)</f>
        <v>40.349997999999999</v>
      </c>
      <c r="F34">
        <f>VLOOKUP(B34, IBE.MC!$A$1:$G$256, 6, 0)</f>
        <v>11.074999999999999</v>
      </c>
      <c r="G34">
        <f>VLOOKUP(B34, IAG.MC!$A$1:$G$256, 6, 0)</f>
        <v>1.8945000000000001</v>
      </c>
      <c r="H34">
        <f>VLOOKUP(B34, IBEX35!$A$1:$G$256, 6, 0)</f>
        <v>10752.5</v>
      </c>
      <c r="J34" s="13">
        <f t="shared" si="5"/>
        <v>2.386919691486519E-4</v>
      </c>
      <c r="K34" s="13">
        <f t="shared" si="6"/>
        <v>4.3483889978296339E-3</v>
      </c>
      <c r="L34" s="13">
        <f t="shared" si="7"/>
        <v>1.6240132267600408E-2</v>
      </c>
      <c r="M34" s="13">
        <f t="shared" si="8"/>
        <v>7.2496919244748759E-3</v>
      </c>
      <c r="N34" s="13">
        <f t="shared" si="9"/>
        <v>1.1947573421118202E-2</v>
      </c>
      <c r="O34" s="13">
        <f t="shared" si="10"/>
        <v>4.7636751080767734E-3</v>
      </c>
    </row>
    <row r="35" spans="2:15" x14ac:dyDescent="0.2">
      <c r="B35" s="1">
        <v>45370</v>
      </c>
      <c r="C35" s="15">
        <f>VLOOKUP(B35, SAN.MC!$A$1:$G$256, 6, 0)</f>
        <v>4.1890000000000001</v>
      </c>
      <c r="D35" s="15">
        <f>VLOOKUP(B35, TEF.MC!$A$1:$G$256, 6, 0)</f>
        <v>3.9009999999999998</v>
      </c>
      <c r="E35">
        <f>VLOOKUP(B35, ACS.MC!$A$1:$G$256, 6, 0)</f>
        <v>39.700001</v>
      </c>
      <c r="F35">
        <f>VLOOKUP(B35, IBE.MC!$A$1:$G$256, 6, 0)</f>
        <v>10.994999999999999</v>
      </c>
      <c r="G35">
        <f>VLOOKUP(B35, IAG.MC!$A$1:$G$256, 6, 0)</f>
        <v>1.8720000000000001</v>
      </c>
      <c r="H35">
        <f>VLOOKUP(B35, IBEX35!$A$1:$G$256, 6, 0)</f>
        <v>10701.400390999999</v>
      </c>
      <c r="J35" s="13">
        <f t="shared" si="5"/>
        <v>1.2370301261716557E-2</v>
      </c>
      <c r="K35" s="13">
        <f t="shared" si="6"/>
        <v>7.6932943915019735E-4</v>
      </c>
      <c r="L35" s="13">
        <f t="shared" si="7"/>
        <v>-1.1022105573325334E-2</v>
      </c>
      <c r="M35" s="13">
        <f t="shared" si="8"/>
        <v>9.0991817015086064E-4</v>
      </c>
      <c r="N35" s="13">
        <f t="shared" si="9"/>
        <v>2.1053409197832482E-2</v>
      </c>
      <c r="O35" s="13">
        <f t="shared" si="10"/>
        <v>9.8319602727842976E-3</v>
      </c>
    </row>
    <row r="36" spans="2:15" x14ac:dyDescent="0.2">
      <c r="B36" s="1">
        <v>45369</v>
      </c>
      <c r="C36" s="15">
        <f>VLOOKUP(B36, SAN.MC!$A$1:$G$256, 6, 0)</f>
        <v>4.1375000000000002</v>
      </c>
      <c r="D36" s="15">
        <f>VLOOKUP(B36, TEF.MC!$A$1:$G$256, 6, 0)</f>
        <v>3.8980000000000001</v>
      </c>
      <c r="E36">
        <f>VLOOKUP(B36, ACS.MC!$A$1:$G$256, 6, 0)</f>
        <v>40.139999000000003</v>
      </c>
      <c r="F36">
        <f>VLOOKUP(B36, IBE.MC!$A$1:$G$256, 6, 0)</f>
        <v>10.984999999999999</v>
      </c>
      <c r="G36">
        <f>VLOOKUP(B36, IAG.MC!$A$1:$G$256, 6, 0)</f>
        <v>1.833</v>
      </c>
      <c r="H36">
        <f>VLOOKUP(B36, IBEX35!$A$1:$G$256, 6, 0)</f>
        <v>10596.700194999999</v>
      </c>
      <c r="J36" s="13">
        <f t="shared" si="5"/>
        <v>4.8455576335231293E-3</v>
      </c>
      <c r="K36" s="13">
        <f t="shared" si="6"/>
        <v>-4.8624535983251135E-3</v>
      </c>
      <c r="L36" s="13">
        <f t="shared" si="7"/>
        <v>6.9999785829310077E-3</v>
      </c>
      <c r="M36" s="13">
        <f t="shared" si="8"/>
        <v>4.552697551888288E-4</v>
      </c>
      <c r="N36" s="13">
        <f t="shared" si="9"/>
        <v>-1.0042152513962298E-2</v>
      </c>
      <c r="O36" s="13">
        <f t="shared" si="10"/>
        <v>-1.1325488266817208E-4</v>
      </c>
    </row>
    <row r="37" spans="2:15" x14ac:dyDescent="0.2">
      <c r="B37" s="1">
        <v>45366</v>
      </c>
      <c r="C37" s="15">
        <f>VLOOKUP(B37, SAN.MC!$A$1:$G$256, 6, 0)</f>
        <v>4.1174999999999997</v>
      </c>
      <c r="D37" s="15">
        <f>VLOOKUP(B37, TEF.MC!$A$1:$G$256, 6, 0)</f>
        <v>3.9169999999999998</v>
      </c>
      <c r="E37">
        <f>VLOOKUP(B37, ACS.MC!$A$1:$G$256, 6, 0)</f>
        <v>39.860000999999997</v>
      </c>
      <c r="F37">
        <f>VLOOKUP(B37, IBE.MC!$A$1:$G$256, 6, 0)</f>
        <v>10.98</v>
      </c>
      <c r="G37">
        <f>VLOOKUP(B37, IAG.MC!$A$1:$G$256, 6, 0)</f>
        <v>1.8514999999999999</v>
      </c>
      <c r="H37">
        <f>VLOOKUP(B37, IBEX35!$A$1:$G$256, 6, 0)</f>
        <v>10597.900390999999</v>
      </c>
      <c r="J37" s="13">
        <f t="shared" si="5"/>
        <v>1.6899740925626253E-2</v>
      </c>
      <c r="K37" s="13">
        <f t="shared" si="6"/>
        <v>1.2071547642003674E-2</v>
      </c>
      <c r="L37" s="13">
        <f t="shared" si="7"/>
        <v>-6.5015982960545688E-3</v>
      </c>
      <c r="M37" s="13">
        <f t="shared" si="8"/>
        <v>1.3755375068485419E-2</v>
      </c>
      <c r="N37" s="13">
        <f t="shared" si="9"/>
        <v>5.9814795884742304E-2</v>
      </c>
      <c r="O37" s="13">
        <f t="shared" si="10"/>
        <v>1.0185819462943056E-2</v>
      </c>
    </row>
    <row r="38" spans="2:15" x14ac:dyDescent="0.2">
      <c r="B38" s="1">
        <v>45365</v>
      </c>
      <c r="C38" s="15">
        <f>VLOOKUP(B38, SAN.MC!$A$1:$G$256, 6, 0)</f>
        <v>4.0484999999999998</v>
      </c>
      <c r="D38" s="15">
        <f>VLOOKUP(B38, TEF.MC!$A$1:$G$256, 6, 0)</f>
        <v>3.87</v>
      </c>
      <c r="E38">
        <f>VLOOKUP(B38, ACS.MC!$A$1:$G$256, 6, 0)</f>
        <v>40.119999</v>
      </c>
      <c r="F38">
        <f>VLOOKUP(B38, IBE.MC!$A$1:$G$256, 6, 0)</f>
        <v>10.83</v>
      </c>
      <c r="G38">
        <f>VLOOKUP(B38, IAG.MC!$A$1:$G$256, 6, 0)</f>
        <v>1.744</v>
      </c>
      <c r="H38">
        <f>VLOOKUP(B38, IBEX35!$A$1:$G$256, 6, 0)</f>
        <v>10490.5</v>
      </c>
      <c r="J38" s="13">
        <f t="shared" si="5"/>
        <v>-1.0931755366234058E-2</v>
      </c>
      <c r="K38" s="13">
        <f t="shared" si="6"/>
        <v>-4.1258439135579529E-3</v>
      </c>
      <c r="L38" s="13">
        <f t="shared" si="7"/>
        <v>4.7470170933802134E-3</v>
      </c>
      <c r="M38" s="13">
        <f t="shared" si="8"/>
        <v>-1.1932220506970315E-2</v>
      </c>
      <c r="N38" s="13">
        <f t="shared" si="9"/>
        <v>-3.3270618734392306E-2</v>
      </c>
      <c r="O38" s="13">
        <f t="shared" si="10"/>
        <v>-6.6505399274413438E-3</v>
      </c>
    </row>
    <row r="39" spans="2:15" x14ac:dyDescent="0.2">
      <c r="B39" s="1">
        <v>45364</v>
      </c>
      <c r="C39" s="15">
        <f>VLOOKUP(B39, SAN.MC!$A$1:$G$256, 6, 0)</f>
        <v>4.093</v>
      </c>
      <c r="D39" s="15">
        <f>VLOOKUP(B39, TEF.MC!$A$1:$G$256, 6, 0)</f>
        <v>3.8860000000000001</v>
      </c>
      <c r="E39">
        <f>VLOOKUP(B39, ACS.MC!$A$1:$G$256, 6, 0)</f>
        <v>39.93</v>
      </c>
      <c r="F39">
        <f>VLOOKUP(B39, IBE.MC!$A$1:$G$256, 6, 0)</f>
        <v>10.96</v>
      </c>
      <c r="G39">
        <f>VLOOKUP(B39, IAG.MC!$A$1:$G$256, 6, 0)</f>
        <v>1.8029999999999999</v>
      </c>
      <c r="H39">
        <f>VLOOKUP(B39, IBEX35!$A$1:$G$256, 6, 0)</f>
        <v>10560.5</v>
      </c>
      <c r="J39" s="13">
        <f t="shared" si="5"/>
        <v>8.5879561066430129E-3</v>
      </c>
      <c r="K39" s="13">
        <f t="shared" si="6"/>
        <v>3.8674793597373801E-3</v>
      </c>
      <c r="L39" s="13">
        <f t="shared" si="7"/>
        <v>2.2541133915484481E-2</v>
      </c>
      <c r="M39" s="13">
        <f t="shared" si="8"/>
        <v>9.6264781896142418E-3</v>
      </c>
      <c r="N39" s="13">
        <f t="shared" si="9"/>
        <v>-8.3160087952601077E-4</v>
      </c>
      <c r="O39" s="13">
        <f t="shared" si="10"/>
        <v>1.6382659529170691E-2</v>
      </c>
    </row>
    <row r="40" spans="2:15" x14ac:dyDescent="0.2">
      <c r="B40" s="1">
        <v>45363</v>
      </c>
      <c r="C40" s="15">
        <f>VLOOKUP(B40, SAN.MC!$A$1:$G$256, 6, 0)</f>
        <v>4.0579999999999998</v>
      </c>
      <c r="D40" s="15">
        <f>VLOOKUP(B40, TEF.MC!$A$1:$G$256, 6, 0)</f>
        <v>3.871</v>
      </c>
      <c r="E40">
        <f>VLOOKUP(B40, ACS.MC!$A$1:$G$256, 6, 0)</f>
        <v>39.040000999999997</v>
      </c>
      <c r="F40">
        <f>VLOOKUP(B40, IBE.MC!$A$1:$G$256, 6, 0)</f>
        <v>10.855</v>
      </c>
      <c r="G40">
        <f>VLOOKUP(B40, IAG.MC!$A$1:$G$256, 6, 0)</f>
        <v>1.8045</v>
      </c>
      <c r="H40">
        <f>VLOOKUP(B40, IBEX35!$A$1:$G$256, 6, 0)</f>
        <v>10388.900390999999</v>
      </c>
      <c r="J40" s="13">
        <f t="shared" si="5"/>
        <v>1.840390168127121E-2</v>
      </c>
      <c r="K40" s="13">
        <f t="shared" si="6"/>
        <v>-1.5487870932810114E-3</v>
      </c>
      <c r="L40" s="13">
        <f t="shared" si="7"/>
        <v>6.940035476807686E-3</v>
      </c>
      <c r="M40" s="13">
        <f t="shared" si="8"/>
        <v>-1.7352033541825247E-2</v>
      </c>
      <c r="N40" s="13">
        <f t="shared" si="9"/>
        <v>3.6086090512776965E-3</v>
      </c>
      <c r="O40" s="13">
        <f t="shared" si="10"/>
        <v>6.1020140687916054E-3</v>
      </c>
    </row>
    <row r="41" spans="2:15" x14ac:dyDescent="0.2">
      <c r="B41" s="1">
        <v>45362</v>
      </c>
      <c r="C41" s="15">
        <f>VLOOKUP(B41, SAN.MC!$A$1:$G$256, 6, 0)</f>
        <v>3.984</v>
      </c>
      <c r="D41" s="15">
        <f>VLOOKUP(B41, TEF.MC!$A$1:$G$256, 6, 0)</f>
        <v>3.8769999999999998</v>
      </c>
      <c r="E41">
        <f>VLOOKUP(B41, ACS.MC!$A$1:$G$256, 6, 0)</f>
        <v>38.770000000000003</v>
      </c>
      <c r="F41">
        <f>VLOOKUP(B41, IBE.MC!$A$1:$G$256, 6, 0)</f>
        <v>11.045</v>
      </c>
      <c r="G41">
        <f>VLOOKUP(B41, IAG.MC!$A$1:$G$256, 6, 0)</f>
        <v>1.798</v>
      </c>
      <c r="H41">
        <f>VLOOKUP(B41, IBEX35!$A$1:$G$256, 6, 0)</f>
        <v>10325.700194999999</v>
      </c>
      <c r="J41" s="13">
        <f t="shared" si="5"/>
        <v>-2.131261384678668E-3</v>
      </c>
      <c r="K41" s="13">
        <f t="shared" si="6"/>
        <v>8.0280115222039084E-3</v>
      </c>
      <c r="L41" s="13">
        <f t="shared" si="7"/>
        <v>-7.7081573841413318E-3</v>
      </c>
      <c r="M41" s="13">
        <f t="shared" si="8"/>
        <v>5.447131035506942E-3</v>
      </c>
      <c r="N41" s="13">
        <f t="shared" si="9"/>
        <v>6.1366998721376458E-3</v>
      </c>
      <c r="O41" s="13">
        <f t="shared" si="10"/>
        <v>1.9387928969239784E-3</v>
      </c>
    </row>
    <row r="42" spans="2:15" x14ac:dyDescent="0.2">
      <c r="B42" s="1">
        <v>45359</v>
      </c>
      <c r="C42" s="15">
        <f>VLOOKUP(B42, SAN.MC!$A$1:$G$256, 6, 0)</f>
        <v>3.9925000000000002</v>
      </c>
      <c r="D42" s="15">
        <f>VLOOKUP(B42, TEF.MC!$A$1:$G$256, 6, 0)</f>
        <v>3.8460000000000001</v>
      </c>
      <c r="E42">
        <f>VLOOKUP(B42, ACS.MC!$A$1:$G$256, 6, 0)</f>
        <v>39.07</v>
      </c>
      <c r="F42">
        <f>VLOOKUP(B42, IBE.MC!$A$1:$G$256, 6, 0)</f>
        <v>10.984999999999999</v>
      </c>
      <c r="G42">
        <f>VLOOKUP(B42, IAG.MC!$A$1:$G$256, 6, 0)</f>
        <v>1.7869999999999999</v>
      </c>
      <c r="H42">
        <f>VLOOKUP(B42, IBEX35!$A$1:$G$256, 6, 0)</f>
        <v>10305.700194999999</v>
      </c>
      <c r="J42" s="13">
        <f t="shared" si="5"/>
        <v>3.0101615605345865E-3</v>
      </c>
      <c r="K42" s="13">
        <f t="shared" si="6"/>
        <v>2.082249581079752E-3</v>
      </c>
      <c r="L42" s="13">
        <f t="shared" si="7"/>
        <v>-2.0455644553998703E-3</v>
      </c>
      <c r="M42" s="13">
        <f t="shared" si="8"/>
        <v>-1.0414402481714926E-2</v>
      </c>
      <c r="N42" s="13">
        <f t="shared" si="9"/>
        <v>2.240897296287723E-3</v>
      </c>
      <c r="O42" s="13">
        <f t="shared" si="10"/>
        <v>-1.3478025760782577E-3</v>
      </c>
    </row>
    <row r="43" spans="2:15" x14ac:dyDescent="0.2">
      <c r="B43" s="1">
        <v>45358</v>
      </c>
      <c r="C43" s="15">
        <f>VLOOKUP(B43, SAN.MC!$A$1:$G$256, 6, 0)</f>
        <v>3.9805000000000001</v>
      </c>
      <c r="D43" s="15">
        <f>VLOOKUP(B43, TEF.MC!$A$1:$G$256, 6, 0)</f>
        <v>3.8380000000000001</v>
      </c>
      <c r="E43">
        <f>VLOOKUP(B43, ACS.MC!$A$1:$G$256, 6, 0)</f>
        <v>39.150002000000001</v>
      </c>
      <c r="F43">
        <f>VLOOKUP(B43, IBE.MC!$A$1:$G$256, 6, 0)</f>
        <v>11.1</v>
      </c>
      <c r="G43">
        <f>VLOOKUP(B43, IAG.MC!$A$1:$G$256, 6, 0)</f>
        <v>1.7829999999999999</v>
      </c>
      <c r="H43">
        <f>VLOOKUP(B43, IBEX35!$A$1:$G$256, 6, 0)</f>
        <v>10319.599609000001</v>
      </c>
      <c r="J43" s="13">
        <f t="shared" si="5"/>
        <v>1.8637623473562296E-2</v>
      </c>
      <c r="K43" s="13">
        <f t="shared" si="6"/>
        <v>-7.8135177825956455E-4</v>
      </c>
      <c r="L43" s="13">
        <f t="shared" si="7"/>
        <v>1.6742232228640564E-2</v>
      </c>
      <c r="M43" s="13">
        <f t="shared" si="8"/>
        <v>2.601104891326635E-2</v>
      </c>
      <c r="N43" s="13">
        <f t="shared" si="9"/>
        <v>2.2976475228461416E-2</v>
      </c>
      <c r="O43" s="13">
        <f t="shared" si="10"/>
        <v>1.1931769798764858E-2</v>
      </c>
    </row>
    <row r="44" spans="2:15" x14ac:dyDescent="0.2">
      <c r="B44" s="1">
        <v>45357</v>
      </c>
      <c r="C44" s="15">
        <f>VLOOKUP(B44, SAN.MC!$A$1:$G$256, 6, 0)</f>
        <v>3.907</v>
      </c>
      <c r="D44" s="15">
        <f>VLOOKUP(B44, TEF.MC!$A$1:$G$256, 6, 0)</f>
        <v>3.8410000000000002</v>
      </c>
      <c r="E44">
        <f>VLOOKUP(B44, ACS.MC!$A$1:$G$256, 6, 0)</f>
        <v>38.5</v>
      </c>
      <c r="F44">
        <f>VLOOKUP(B44, IBE.MC!$A$1:$G$256, 6, 0)</f>
        <v>10.815</v>
      </c>
      <c r="G44">
        <f>VLOOKUP(B44, IAG.MC!$A$1:$G$256, 6, 0)</f>
        <v>1.7424999999999999</v>
      </c>
      <c r="H44">
        <f>VLOOKUP(B44, IBEX35!$A$1:$G$256, 6, 0)</f>
        <v>10197.200194999999</v>
      </c>
      <c r="J44" s="13">
        <f t="shared" si="5"/>
        <v>1.0808134033548217E-2</v>
      </c>
      <c r="K44" s="13">
        <f t="shared" si="6"/>
        <v>1.8241047403149825E-3</v>
      </c>
      <c r="L44" s="13">
        <f t="shared" si="7"/>
        <v>1.3072081567352701E-2</v>
      </c>
      <c r="M44" s="13">
        <f t="shared" si="8"/>
        <v>5.5632966853285115E-3</v>
      </c>
      <c r="N44" s="13">
        <f t="shared" si="9"/>
        <v>4.8804511474649669E-2</v>
      </c>
      <c r="O44" s="13">
        <f t="shared" si="10"/>
        <v>7.8861690439537887E-3</v>
      </c>
    </row>
    <row r="45" spans="2:15" x14ac:dyDescent="0.2">
      <c r="B45" s="1">
        <v>45356</v>
      </c>
      <c r="C45" s="15">
        <f>VLOOKUP(B45, SAN.MC!$A$1:$G$256, 6, 0)</f>
        <v>3.8650000000000002</v>
      </c>
      <c r="D45" s="15">
        <f>VLOOKUP(B45, TEF.MC!$A$1:$G$256, 6, 0)</f>
        <v>3.8340000000000001</v>
      </c>
      <c r="E45">
        <f>VLOOKUP(B45, ACS.MC!$A$1:$G$256, 6, 0)</f>
        <v>38</v>
      </c>
      <c r="F45">
        <f>VLOOKUP(B45, IBE.MC!$A$1:$G$256, 6, 0)</f>
        <v>10.755000000000001</v>
      </c>
      <c r="G45">
        <f>VLOOKUP(B45, IAG.MC!$A$1:$G$256, 6, 0)</f>
        <v>1.6595</v>
      </c>
      <c r="H45">
        <f>VLOOKUP(B45, IBEX35!$A$1:$G$256, 6, 0)</f>
        <v>10117.099609000001</v>
      </c>
      <c r="J45" s="13">
        <f t="shared" si="5"/>
        <v>2.331305291086095E-3</v>
      </c>
      <c r="K45" s="13">
        <f t="shared" si="6"/>
        <v>1.0438414308981804E-3</v>
      </c>
      <c r="L45" s="13">
        <f t="shared" si="7"/>
        <v>6.8655667918125322E-3</v>
      </c>
      <c r="M45" s="13">
        <f t="shared" si="8"/>
        <v>1.6405336289540148E-2</v>
      </c>
      <c r="N45" s="13">
        <f t="shared" si="9"/>
        <v>-1.9394909006139271E-2</v>
      </c>
      <c r="O45" s="13">
        <f t="shared" si="10"/>
        <v>4.686196685315433E-3</v>
      </c>
    </row>
    <row r="46" spans="2:15" x14ac:dyDescent="0.2">
      <c r="B46" s="1">
        <v>45355</v>
      </c>
      <c r="C46" s="15">
        <f>VLOOKUP(B46, SAN.MC!$A$1:$G$256, 6, 0)</f>
        <v>3.8559999999999999</v>
      </c>
      <c r="D46" s="15">
        <f>VLOOKUP(B46, TEF.MC!$A$1:$G$256, 6, 0)</f>
        <v>3.83</v>
      </c>
      <c r="E46">
        <f>VLOOKUP(B46, ACS.MC!$A$1:$G$256, 6, 0)</f>
        <v>37.740001999999997</v>
      </c>
      <c r="F46">
        <f>VLOOKUP(B46, IBE.MC!$A$1:$G$256, 6, 0)</f>
        <v>10.58</v>
      </c>
      <c r="G46">
        <f>VLOOKUP(B46, IAG.MC!$A$1:$G$256, 6, 0)</f>
        <v>1.6919999999999999</v>
      </c>
      <c r="H46">
        <f>VLOOKUP(B46, IBEX35!$A$1:$G$256, 6, 0)</f>
        <v>10069.799805000001</v>
      </c>
      <c r="J46" s="13">
        <f t="shared" si="5"/>
        <v>-4.1407926660313879E-3</v>
      </c>
      <c r="K46" s="13">
        <f t="shared" si="6"/>
        <v>2.0909573744734146E-3</v>
      </c>
      <c r="L46" s="13">
        <f t="shared" si="7"/>
        <v>1.6295297813185367E-2</v>
      </c>
      <c r="M46" s="13">
        <f t="shared" si="8"/>
        <v>7.1140921331894159E-3</v>
      </c>
      <c r="N46" s="13">
        <f t="shared" si="9"/>
        <v>-1.2918558991556547E-2</v>
      </c>
      <c r="O46" s="13">
        <f t="shared" si="10"/>
        <v>5.0655443234718604E-4</v>
      </c>
    </row>
    <row r="47" spans="2:15" x14ac:dyDescent="0.2">
      <c r="B47" s="1">
        <v>45352</v>
      </c>
      <c r="C47" s="15">
        <f>VLOOKUP(B47, SAN.MC!$A$1:$G$256, 6, 0)</f>
        <v>3.8719999999999999</v>
      </c>
      <c r="D47" s="15">
        <f>VLOOKUP(B47, TEF.MC!$A$1:$G$256, 6, 0)</f>
        <v>3.8220000000000001</v>
      </c>
      <c r="E47">
        <f>VLOOKUP(B47, ACS.MC!$A$1:$G$256, 6, 0)</f>
        <v>37.130001</v>
      </c>
      <c r="F47">
        <f>VLOOKUP(B47, IBE.MC!$A$1:$G$256, 6, 0)</f>
        <v>10.505000000000001</v>
      </c>
      <c r="G47">
        <f>VLOOKUP(B47, IAG.MC!$A$1:$G$256, 6, 0)</f>
        <v>1.714</v>
      </c>
      <c r="H47">
        <f>VLOOKUP(B47, IBEX35!$A$1:$G$256, 6, 0)</f>
        <v>10064.700194999999</v>
      </c>
      <c r="J47" s="13">
        <f t="shared" si="5"/>
        <v>6.8675358993591376E-3</v>
      </c>
      <c r="K47" s="13">
        <f t="shared" si="6"/>
        <v>7.616583111319292E-3</v>
      </c>
      <c r="L47" s="13">
        <f t="shared" si="7"/>
        <v>-2.1580643028073346E-2</v>
      </c>
      <c r="M47" s="13">
        <f t="shared" si="8"/>
        <v>-1.0887681516828869E-2</v>
      </c>
      <c r="N47" s="13">
        <f t="shared" si="9"/>
        <v>-7.5559789889535723E-3</v>
      </c>
      <c r="O47" s="13">
        <f t="shared" si="10"/>
        <v>6.319206715558196E-3</v>
      </c>
    </row>
    <row r="48" spans="2:15" x14ac:dyDescent="0.2">
      <c r="B48" s="1">
        <v>45351</v>
      </c>
      <c r="C48" s="15">
        <f>VLOOKUP(B48, SAN.MC!$A$1:$G$256, 6, 0)</f>
        <v>3.8454999999999999</v>
      </c>
      <c r="D48" s="15">
        <f>VLOOKUP(B48, TEF.MC!$A$1:$G$256, 6, 0)</f>
        <v>3.7930000000000001</v>
      </c>
      <c r="E48">
        <f>VLOOKUP(B48, ACS.MC!$A$1:$G$256, 6, 0)</f>
        <v>37.939999</v>
      </c>
      <c r="F48">
        <f>VLOOKUP(B48, IBE.MC!$A$1:$G$256, 6, 0)</f>
        <v>10.62</v>
      </c>
      <c r="G48">
        <f>VLOOKUP(B48, IAG.MC!$A$1:$G$256, 6, 0)</f>
        <v>1.7270000000000001</v>
      </c>
      <c r="H48">
        <f>VLOOKUP(B48, IBEX35!$A$1:$G$256, 6, 0)</f>
        <v>10001.299805000001</v>
      </c>
      <c r="J48" s="13">
        <f t="shared" si="5"/>
        <v>-3.5044490405102833E-3</v>
      </c>
      <c r="K48" s="13">
        <f t="shared" si="6"/>
        <v>-9.1852108839458897E-3</v>
      </c>
      <c r="L48" s="13">
        <f t="shared" si="7"/>
        <v>4.4908014250958283E-3</v>
      </c>
      <c r="M48" s="13">
        <f t="shared" si="8"/>
        <v>1.327033692089661E-2</v>
      </c>
      <c r="N48" s="13">
        <f t="shared" si="9"/>
        <v>-3.3592683289765682E-2</v>
      </c>
      <c r="O48" s="13">
        <f t="shared" si="10"/>
        <v>-6.7065663721194053E-3</v>
      </c>
    </row>
    <row r="49" spans="2:15" x14ac:dyDescent="0.2">
      <c r="B49" s="1">
        <v>45350</v>
      </c>
      <c r="C49" s="15">
        <f>VLOOKUP(B49, SAN.MC!$A$1:$G$256, 6, 0)</f>
        <v>3.859</v>
      </c>
      <c r="D49" s="15">
        <f>VLOOKUP(B49, TEF.MC!$A$1:$G$256, 6, 0)</f>
        <v>3.8279999999999998</v>
      </c>
      <c r="E49">
        <f>VLOOKUP(B49, ACS.MC!$A$1:$G$256, 6, 0)</f>
        <v>37.770000000000003</v>
      </c>
      <c r="F49">
        <f>VLOOKUP(B49, IBE.MC!$A$1:$G$256, 6, 0)</f>
        <v>10.48</v>
      </c>
      <c r="G49">
        <f>VLOOKUP(B49, IAG.MC!$A$1:$G$256, 6, 0)</f>
        <v>1.786</v>
      </c>
      <c r="H49">
        <f>VLOOKUP(B49, IBEX35!$A$1:$G$256, 6, 0)</f>
        <v>10068.599609000001</v>
      </c>
      <c r="J49" s="13">
        <f t="shared" si="5"/>
        <v>9.8959140907187541E-3</v>
      </c>
      <c r="K49" s="13">
        <f t="shared" si="6"/>
        <v>4.7132844520981366E-3</v>
      </c>
      <c r="L49" s="13">
        <f t="shared" si="7"/>
        <v>6.3745502227870263E-3</v>
      </c>
      <c r="M49" s="13">
        <f t="shared" si="8"/>
        <v>-5.2343683632561748E-3</v>
      </c>
      <c r="N49" s="13">
        <f t="shared" si="9"/>
        <v>-2.1875439659247094E-2</v>
      </c>
      <c r="O49" s="13">
        <f t="shared" si="10"/>
        <v>-4.4791771923498305E-3</v>
      </c>
    </row>
    <row r="50" spans="2:15" x14ac:dyDescent="0.2">
      <c r="B50" s="1">
        <v>45349</v>
      </c>
      <c r="C50" s="15">
        <f>VLOOKUP(B50, SAN.MC!$A$1:$G$256, 6, 0)</f>
        <v>3.8210000000000002</v>
      </c>
      <c r="D50" s="15">
        <f>VLOOKUP(B50, TEF.MC!$A$1:$G$256, 6, 0)</f>
        <v>3.81</v>
      </c>
      <c r="E50">
        <f>VLOOKUP(B50, ACS.MC!$A$1:$G$256, 6, 0)</f>
        <v>37.529998999999997</v>
      </c>
      <c r="F50">
        <f>VLOOKUP(B50, IBE.MC!$A$1:$G$256, 6, 0)</f>
        <v>10.535</v>
      </c>
      <c r="G50">
        <f>VLOOKUP(B50, IAG.MC!$A$1:$G$256, 6, 0)</f>
        <v>1.8254999999999999</v>
      </c>
      <c r="H50">
        <f>VLOOKUP(B50, IBEX35!$A$1:$G$256, 6, 0)</f>
        <v>10113.799805000001</v>
      </c>
      <c r="J50" s="13">
        <f t="shared" si="5"/>
        <v>1.3086435927853719E-4</v>
      </c>
      <c r="K50" s="13">
        <f t="shared" si="6"/>
        <v>8.9639408553553457E-3</v>
      </c>
      <c r="L50" s="13">
        <f t="shared" si="7"/>
        <v>1.5845638801410818E-2</v>
      </c>
      <c r="M50" s="13">
        <f t="shared" si="8"/>
        <v>1.9002381014892899E-3</v>
      </c>
      <c r="N50" s="13">
        <f t="shared" si="9"/>
        <v>9.9092470627717682E-3</v>
      </c>
      <c r="O50" s="13">
        <f t="shared" si="10"/>
        <v>-2.4294247401779536E-3</v>
      </c>
    </row>
    <row r="51" spans="2:15" x14ac:dyDescent="0.2">
      <c r="B51" s="1">
        <v>45348</v>
      </c>
      <c r="C51" s="15">
        <f>VLOOKUP(B51, SAN.MC!$A$1:$G$256, 6, 0)</f>
        <v>3.8205</v>
      </c>
      <c r="D51" s="15">
        <f>VLOOKUP(B51, TEF.MC!$A$1:$G$256, 6, 0)</f>
        <v>3.7759999999999998</v>
      </c>
      <c r="E51">
        <f>VLOOKUP(B51, ACS.MC!$A$1:$G$256, 6, 0)</f>
        <v>36.939999</v>
      </c>
      <c r="F51">
        <f>VLOOKUP(B51, IBE.MC!$A$1:$G$256, 6, 0)</f>
        <v>10.515000000000001</v>
      </c>
      <c r="G51">
        <f>VLOOKUP(B51, IAG.MC!$A$1:$G$256, 6, 0)</f>
        <v>1.8075000000000001</v>
      </c>
      <c r="H51">
        <f>VLOOKUP(B51, IBEX35!$A$1:$G$256, 6, 0)</f>
        <v>10138.400390999999</v>
      </c>
      <c r="J51" s="13">
        <f t="shared" si="5"/>
        <v>-3.6577441172924948E-3</v>
      </c>
      <c r="K51" s="13">
        <f t="shared" si="6"/>
        <v>0</v>
      </c>
      <c r="L51" s="13">
        <f t="shared" si="7"/>
        <v>-5.9379662454699502E-3</v>
      </c>
      <c r="M51" s="13">
        <f t="shared" si="8"/>
        <v>-1.0877383199193512E-2</v>
      </c>
      <c r="N51" s="13">
        <f t="shared" si="9"/>
        <v>1.3086640892965145E-2</v>
      </c>
      <c r="O51" s="13">
        <f t="shared" si="10"/>
        <v>7.6972543146150766E-4</v>
      </c>
    </row>
    <row r="52" spans="2:15" x14ac:dyDescent="0.2">
      <c r="B52" s="1">
        <v>45345</v>
      </c>
      <c r="C52" s="15">
        <f>VLOOKUP(B52, SAN.MC!$A$1:$G$256, 6, 0)</f>
        <v>3.8344999999999998</v>
      </c>
      <c r="D52" s="15">
        <f>VLOOKUP(B52, TEF.MC!$A$1:$G$256, 6, 0)</f>
        <v>3.7759999999999998</v>
      </c>
      <c r="E52">
        <f>VLOOKUP(B52, ACS.MC!$A$1:$G$256, 6, 0)</f>
        <v>37.159999999999997</v>
      </c>
      <c r="F52">
        <f>VLOOKUP(B52, IBE.MC!$A$1:$G$256, 6, 0)</f>
        <v>10.63</v>
      </c>
      <c r="G52">
        <f>VLOOKUP(B52, IAG.MC!$A$1:$G$256, 6, 0)</f>
        <v>1.784</v>
      </c>
      <c r="H52">
        <f>VLOOKUP(B52, IBEX35!$A$1:$G$256, 6, 0)</f>
        <v>10130.599609000001</v>
      </c>
      <c r="J52" s="13">
        <f t="shared" si="5"/>
        <v>-1.1728677958838406E-3</v>
      </c>
      <c r="K52" s="13">
        <f t="shared" si="6"/>
        <v>8.777819360962268E-3</v>
      </c>
      <c r="L52" s="13">
        <f t="shared" si="7"/>
        <v>2.4248967829968403E-3</v>
      </c>
      <c r="M52" s="13">
        <f t="shared" si="8"/>
        <v>-1.1225562219815166E-2</v>
      </c>
      <c r="N52" s="13">
        <f t="shared" si="9"/>
        <v>-6.9822934136186919E-3</v>
      </c>
      <c r="O52" s="13">
        <f t="shared" si="10"/>
        <v>-8.1904166003423447E-4</v>
      </c>
    </row>
    <row r="53" spans="2:15" x14ac:dyDescent="0.2">
      <c r="B53" s="1">
        <v>45344</v>
      </c>
      <c r="C53" s="15">
        <f>VLOOKUP(B53, SAN.MC!$A$1:$G$256, 6, 0)</f>
        <v>3.839</v>
      </c>
      <c r="D53" s="15">
        <f>VLOOKUP(B53, TEF.MC!$A$1:$G$256, 6, 0)</f>
        <v>3.7429999999999999</v>
      </c>
      <c r="E53">
        <f>VLOOKUP(B53, ACS.MC!$A$1:$G$256, 6, 0)</f>
        <v>37.07</v>
      </c>
      <c r="F53">
        <f>VLOOKUP(B53, IBE.MC!$A$1:$G$256, 6, 0)</f>
        <v>10.75</v>
      </c>
      <c r="G53">
        <f>VLOOKUP(B53, IAG.MC!$A$1:$G$256, 6, 0)</f>
        <v>1.7965</v>
      </c>
      <c r="H53">
        <f>VLOOKUP(B53, IBEX35!$A$1:$G$256, 6, 0)</f>
        <v>10138.900390999999</v>
      </c>
      <c r="J53" s="13">
        <f t="shared" si="5"/>
        <v>5.8781437622725521E-3</v>
      </c>
      <c r="K53" s="13">
        <f t="shared" si="6"/>
        <v>1.5888310529231401E-2</v>
      </c>
      <c r="L53" s="13">
        <f t="shared" si="7"/>
        <v>9.2141573310650891E-3</v>
      </c>
      <c r="M53" s="13">
        <f t="shared" si="8"/>
        <v>-1.7062899555059418E-2</v>
      </c>
      <c r="N53" s="13">
        <f t="shared" si="9"/>
        <v>2.2801832358511416E-2</v>
      </c>
      <c r="O53" s="13">
        <f t="shared" si="10"/>
        <v>3.1314891250565778E-3</v>
      </c>
    </row>
    <row r="54" spans="2:15" x14ac:dyDescent="0.2">
      <c r="B54" s="1">
        <v>45343</v>
      </c>
      <c r="C54" s="15">
        <f>VLOOKUP(B54, SAN.MC!$A$1:$G$256, 6, 0)</f>
        <v>3.8165</v>
      </c>
      <c r="D54" s="15">
        <f>VLOOKUP(B54, TEF.MC!$A$1:$G$256, 6, 0)</f>
        <v>3.6840000000000002</v>
      </c>
      <c r="E54">
        <f>VLOOKUP(B54, ACS.MC!$A$1:$G$256, 6, 0)</f>
        <v>36.729999999999997</v>
      </c>
      <c r="F54">
        <f>VLOOKUP(B54, IBE.MC!$A$1:$G$256, 6, 0)</f>
        <v>10.935</v>
      </c>
      <c r="G54">
        <f>VLOOKUP(B54, IAG.MC!$A$1:$G$256, 6, 0)</f>
        <v>1.756</v>
      </c>
      <c r="H54">
        <f>VLOOKUP(B54, IBEX35!$A$1:$G$256, 6, 0)</f>
        <v>10107.200194999999</v>
      </c>
      <c r="J54" s="13">
        <f t="shared" si="5"/>
        <v>4.3327055240480672E-3</v>
      </c>
      <c r="K54" s="13">
        <f t="shared" si="6"/>
        <v>4.6252293038716308E-3</v>
      </c>
      <c r="L54" s="13">
        <f t="shared" si="7"/>
        <v>2.7262557408258186E-3</v>
      </c>
      <c r="M54" s="13">
        <f t="shared" si="8"/>
        <v>3.2058648936330492E-3</v>
      </c>
      <c r="N54" s="13">
        <f t="shared" si="9"/>
        <v>1.7231902551688723E-2</v>
      </c>
      <c r="O54" s="13">
        <f t="shared" si="10"/>
        <v>6.8502257077199414E-3</v>
      </c>
    </row>
    <row r="55" spans="2:15" x14ac:dyDescent="0.2">
      <c r="B55" s="1">
        <v>45342</v>
      </c>
      <c r="C55" s="15">
        <f>VLOOKUP(B55, SAN.MC!$A$1:$G$256, 6, 0)</f>
        <v>3.8</v>
      </c>
      <c r="D55" s="15">
        <f>VLOOKUP(B55, TEF.MC!$A$1:$G$256, 6, 0)</f>
        <v>3.6669999999999998</v>
      </c>
      <c r="E55">
        <f>VLOOKUP(B55, ACS.MC!$A$1:$G$256, 6, 0)</f>
        <v>36.630001</v>
      </c>
      <c r="F55">
        <f>VLOOKUP(B55, IBE.MC!$A$1:$G$256, 6, 0)</f>
        <v>10.9</v>
      </c>
      <c r="G55">
        <f>VLOOKUP(B55, IAG.MC!$A$1:$G$256, 6, 0)</f>
        <v>1.726</v>
      </c>
      <c r="H55">
        <f>VLOOKUP(B55, IBEX35!$A$1:$G$256, 6, 0)</f>
        <v>10038.200194999999</v>
      </c>
      <c r="J55" s="13">
        <f t="shared" si="5"/>
        <v>1.6584128015535261E-2</v>
      </c>
      <c r="K55" s="13">
        <f t="shared" si="6"/>
        <v>1.124377675652961E-2</v>
      </c>
      <c r="L55" s="13">
        <f t="shared" si="7"/>
        <v>4.9261182012407968E-3</v>
      </c>
      <c r="M55" s="13">
        <f t="shared" si="8"/>
        <v>9.679725268327272E-3</v>
      </c>
      <c r="N55" s="13">
        <f t="shared" si="9"/>
        <v>8.144314941685776E-3</v>
      </c>
      <c r="O55" s="13">
        <f t="shared" si="10"/>
        <v>9.3480528606248899E-3</v>
      </c>
    </row>
    <row r="56" spans="2:15" x14ac:dyDescent="0.2">
      <c r="B56" s="1">
        <v>45341</v>
      </c>
      <c r="C56" s="15">
        <f>VLOOKUP(B56, SAN.MC!$A$1:$G$256, 6, 0)</f>
        <v>3.7374999999999998</v>
      </c>
      <c r="D56" s="15">
        <f>VLOOKUP(B56, TEF.MC!$A$1:$G$256, 6, 0)</f>
        <v>3.6259999999999999</v>
      </c>
      <c r="E56">
        <f>VLOOKUP(B56, ACS.MC!$A$1:$G$256, 6, 0)</f>
        <v>36.450001</v>
      </c>
      <c r="F56">
        <f>VLOOKUP(B56, IBE.MC!$A$1:$G$256, 6, 0)</f>
        <v>10.795</v>
      </c>
      <c r="G56">
        <f>VLOOKUP(B56, IAG.MC!$A$1:$G$256, 6, 0)</f>
        <v>1.712</v>
      </c>
      <c r="H56">
        <f>VLOOKUP(B56, IBEX35!$A$1:$G$256, 6, 0)</f>
        <v>9944.7998050000006</v>
      </c>
      <c r="J56" s="13">
        <f t="shared" si="5"/>
        <v>1.7408171879274417E-2</v>
      </c>
      <c r="K56" s="13">
        <f t="shared" si="6"/>
        <v>1.8088708037018678E-2</v>
      </c>
      <c r="L56" s="13">
        <f t="shared" si="7"/>
        <v>1.6475017455178738E-3</v>
      </c>
      <c r="M56" s="13">
        <f t="shared" si="8"/>
        <v>1.8544279769591575E-3</v>
      </c>
      <c r="N56" s="13">
        <f t="shared" si="9"/>
        <v>4.3904651237296026E-3</v>
      </c>
      <c r="O56" s="13">
        <f t="shared" si="10"/>
        <v>5.8896670132739136E-3</v>
      </c>
    </row>
    <row r="57" spans="2:15" x14ac:dyDescent="0.2">
      <c r="B57" s="1">
        <v>45338</v>
      </c>
      <c r="C57" s="15">
        <f>VLOOKUP(B57, SAN.MC!$A$1:$G$256, 6, 0)</f>
        <v>3.673</v>
      </c>
      <c r="D57" s="15">
        <f>VLOOKUP(B57, TEF.MC!$A$1:$G$256, 6, 0)</f>
        <v>3.5609999999999999</v>
      </c>
      <c r="E57">
        <f>VLOOKUP(B57, ACS.MC!$A$1:$G$256, 6, 0)</f>
        <v>36.389999000000003</v>
      </c>
      <c r="F57">
        <f>VLOOKUP(B57, IBE.MC!$A$1:$G$256, 6, 0)</f>
        <v>10.775</v>
      </c>
      <c r="G57">
        <f>VLOOKUP(B57, IAG.MC!$A$1:$G$256, 6, 0)</f>
        <v>1.7044999999999999</v>
      </c>
      <c r="H57">
        <f>VLOOKUP(B57, IBEX35!$A$1:$G$256, 6, 0)</f>
        <v>9886.4003909999992</v>
      </c>
      <c r="J57" s="13">
        <f t="shared" si="5"/>
        <v>6.8087426883132703E-4</v>
      </c>
      <c r="K57" s="13">
        <f t="shared" si="6"/>
        <v>-1.5879982677462698E-2</v>
      </c>
      <c r="L57" s="13">
        <f t="shared" si="7"/>
        <v>-1.4730244720480571E-2</v>
      </c>
      <c r="M57" s="13">
        <f t="shared" si="8"/>
        <v>-7.3971673404436703E-3</v>
      </c>
      <c r="N57" s="13">
        <f t="shared" si="9"/>
        <v>-6.1412680220825772E-3</v>
      </c>
      <c r="O57" s="13">
        <f t="shared" si="10"/>
        <v>-4.1284032447473249E-3</v>
      </c>
    </row>
    <row r="58" spans="2:15" x14ac:dyDescent="0.2">
      <c r="B58" s="1">
        <v>45337</v>
      </c>
      <c r="C58" s="15">
        <f>VLOOKUP(B58, SAN.MC!$A$1:$G$256, 6, 0)</f>
        <v>3.6705000000000001</v>
      </c>
      <c r="D58" s="15">
        <f>VLOOKUP(B58, TEF.MC!$A$1:$G$256, 6, 0)</f>
        <v>3.6179999999999999</v>
      </c>
      <c r="E58">
        <f>VLOOKUP(B58, ACS.MC!$A$1:$G$256, 6, 0)</f>
        <v>36.93</v>
      </c>
      <c r="F58">
        <f>VLOOKUP(B58, IBE.MC!$A$1:$G$256, 6, 0)</f>
        <v>10.855</v>
      </c>
      <c r="G58">
        <f>VLOOKUP(B58, IAG.MC!$A$1:$G$256, 6, 0)</f>
        <v>1.7150000000000001</v>
      </c>
      <c r="H58">
        <f>VLOOKUP(B58, IBEX35!$A$1:$G$256, 6, 0)</f>
        <v>9927.2998050000006</v>
      </c>
      <c r="J58" s="13">
        <f t="shared" si="5"/>
        <v>4.0874719555398554E-4</v>
      </c>
      <c r="K58" s="13">
        <f t="shared" si="6"/>
        <v>1.1956210827132288E-2</v>
      </c>
      <c r="L58" s="13">
        <f t="shared" si="7"/>
        <v>1.1438087976440293E-2</v>
      </c>
      <c r="M58" s="13">
        <f t="shared" si="8"/>
        <v>6.4695234891354956E-3</v>
      </c>
      <c r="N58" s="13">
        <f t="shared" si="9"/>
        <v>1.586868444413796E-2</v>
      </c>
      <c r="O58" s="13">
        <f t="shared" si="10"/>
        <v>1.0784369355854543E-3</v>
      </c>
    </row>
    <row r="59" spans="2:15" x14ac:dyDescent="0.2">
      <c r="B59" s="1">
        <v>45336</v>
      </c>
      <c r="C59" s="15">
        <f>VLOOKUP(B59, SAN.MC!$A$1:$G$256, 6, 0)</f>
        <v>3.669</v>
      </c>
      <c r="D59" s="15">
        <f>VLOOKUP(B59, TEF.MC!$A$1:$G$256, 6, 0)</f>
        <v>3.5750000000000002</v>
      </c>
      <c r="E59">
        <f>VLOOKUP(B59, ACS.MC!$A$1:$G$256, 6, 0)</f>
        <v>36.509998000000003</v>
      </c>
      <c r="F59">
        <f>VLOOKUP(B59, IBE.MC!$A$1:$G$256, 6, 0)</f>
        <v>10.785</v>
      </c>
      <c r="G59">
        <f>VLOOKUP(B59, IAG.MC!$A$1:$G$256, 6, 0)</f>
        <v>1.6879999999999999</v>
      </c>
      <c r="H59">
        <f>VLOOKUP(B59, IBEX35!$A$1:$G$256, 6, 0)</f>
        <v>9916.5996090000008</v>
      </c>
      <c r="J59" s="13">
        <f t="shared" si="5"/>
        <v>2.0462458541576417E-3</v>
      </c>
      <c r="K59" s="13">
        <f t="shared" si="6"/>
        <v>-1.3976242666379726E-3</v>
      </c>
      <c r="L59" s="13">
        <f t="shared" si="7"/>
        <v>3.292156744040453E-3</v>
      </c>
      <c r="M59" s="13">
        <f t="shared" si="8"/>
        <v>1.856149024793216E-3</v>
      </c>
      <c r="N59" s="13">
        <f t="shared" si="9"/>
        <v>2.9664809650963059E-3</v>
      </c>
      <c r="O59" s="13">
        <f t="shared" si="10"/>
        <v>-8.8708623900064733E-4</v>
      </c>
    </row>
    <row r="60" spans="2:15" x14ac:dyDescent="0.2">
      <c r="B60" s="1">
        <v>45335</v>
      </c>
      <c r="C60" s="15">
        <f>VLOOKUP(B60, SAN.MC!$A$1:$G$256, 6, 0)</f>
        <v>3.6615000000000002</v>
      </c>
      <c r="D60" s="15">
        <f>VLOOKUP(B60, TEF.MC!$A$1:$G$256, 6, 0)</f>
        <v>3.58</v>
      </c>
      <c r="E60">
        <f>VLOOKUP(B60, ACS.MC!$A$1:$G$256, 6, 0)</f>
        <v>36.389999000000003</v>
      </c>
      <c r="F60">
        <f>VLOOKUP(B60, IBE.MC!$A$1:$G$256, 6, 0)</f>
        <v>10.765000000000001</v>
      </c>
      <c r="G60">
        <f>VLOOKUP(B60, IAG.MC!$A$1:$G$256, 6, 0)</f>
        <v>1.6830000000000001</v>
      </c>
      <c r="H60">
        <f>VLOOKUP(B60, IBEX35!$A$1:$G$256, 6, 0)</f>
        <v>9925.4003909999992</v>
      </c>
      <c r="J60" s="13">
        <f t="shared" si="5"/>
        <v>-1.1810359229062822E-2</v>
      </c>
      <c r="K60" s="13">
        <f t="shared" si="6"/>
        <v>-1.6745747703321883E-3</v>
      </c>
      <c r="L60" s="13">
        <f t="shared" si="7"/>
        <v>4.9586879831221564E-3</v>
      </c>
      <c r="M60" s="13">
        <f t="shared" si="8"/>
        <v>-1.8561490247932634E-3</v>
      </c>
      <c r="N60" s="13">
        <f t="shared" si="9"/>
        <v>-1.5037877364540446E-2</v>
      </c>
      <c r="O60" s="13">
        <f t="shared" si="10"/>
        <v>-5.9567734566759031E-3</v>
      </c>
    </row>
    <row r="61" spans="2:15" x14ac:dyDescent="0.2">
      <c r="B61" s="1">
        <v>45334</v>
      </c>
      <c r="C61" s="15">
        <f>VLOOKUP(B61, SAN.MC!$A$1:$G$256, 6, 0)</f>
        <v>3.7050000000000001</v>
      </c>
      <c r="D61" s="15">
        <f>VLOOKUP(B61, TEF.MC!$A$1:$G$256, 6, 0)</f>
        <v>3.5859999999999999</v>
      </c>
      <c r="E61">
        <f>VLOOKUP(B61, ACS.MC!$A$1:$G$256, 6, 0)</f>
        <v>36.209999000000003</v>
      </c>
      <c r="F61">
        <f>VLOOKUP(B61, IBE.MC!$A$1:$G$256, 6, 0)</f>
        <v>10.785</v>
      </c>
      <c r="G61">
        <f>VLOOKUP(B61, IAG.MC!$A$1:$G$256, 6, 0)</f>
        <v>1.7084999999999999</v>
      </c>
      <c r="H61">
        <f>VLOOKUP(B61, IBEX35!$A$1:$G$256, 6, 0)</f>
        <v>9984.7001949999994</v>
      </c>
      <c r="J61" s="13">
        <f t="shared" si="5"/>
        <v>8.1301260832503091E-3</v>
      </c>
      <c r="K61" s="13">
        <f t="shared" si="6"/>
        <v>9.2450581440509903E-3</v>
      </c>
      <c r="L61" s="13">
        <f t="shared" si="7"/>
        <v>1.33446241255508E-2</v>
      </c>
      <c r="M61" s="13">
        <f t="shared" si="8"/>
        <v>8.8475548041659826E-3</v>
      </c>
      <c r="N61" s="13">
        <f t="shared" si="9"/>
        <v>1.5335010036463597E-2</v>
      </c>
      <c r="O61" s="13">
        <f t="shared" si="10"/>
        <v>8.8627165771842705E-3</v>
      </c>
    </row>
    <row r="62" spans="2:15" x14ac:dyDescent="0.2">
      <c r="B62" s="1">
        <v>45331</v>
      </c>
      <c r="C62" s="15">
        <f>VLOOKUP(B62, SAN.MC!$A$1:$G$256, 6, 0)</f>
        <v>3.6749999999999998</v>
      </c>
      <c r="D62" s="15">
        <f>VLOOKUP(B62, TEF.MC!$A$1:$G$256, 6, 0)</f>
        <v>3.5529999999999999</v>
      </c>
      <c r="E62">
        <f>VLOOKUP(B62, ACS.MC!$A$1:$G$256, 6, 0)</f>
        <v>35.729999999999997</v>
      </c>
      <c r="F62">
        <f>VLOOKUP(B62, IBE.MC!$A$1:$G$256, 6, 0)</f>
        <v>10.69</v>
      </c>
      <c r="G62">
        <f>VLOOKUP(B62, IAG.MC!$A$1:$G$256, 6, 0)</f>
        <v>1.6825000000000001</v>
      </c>
      <c r="H62">
        <f>VLOOKUP(B62, IBEX35!$A$1:$G$256, 6, 0)</f>
        <v>9896.5996090000008</v>
      </c>
      <c r="J62" s="13">
        <f t="shared" si="5"/>
        <v>5.4570394630581174E-3</v>
      </c>
      <c r="K62" s="13">
        <f t="shared" si="6"/>
        <v>-8.1289865996299945E-3</v>
      </c>
      <c r="L62" s="13">
        <f t="shared" si="7"/>
        <v>-5.8601814959429238E-3</v>
      </c>
      <c r="M62" s="13">
        <f t="shared" si="8"/>
        <v>6.5697092231610408E-3</v>
      </c>
      <c r="N62" s="13">
        <f t="shared" si="9"/>
        <v>-9.1703053524097092E-3</v>
      </c>
      <c r="O62" s="13">
        <f t="shared" si="10"/>
        <v>-8.8887815164731543E-4</v>
      </c>
    </row>
    <row r="63" spans="2:15" x14ac:dyDescent="0.2">
      <c r="B63" s="1">
        <v>45330</v>
      </c>
      <c r="C63" s="15">
        <f>VLOOKUP(B63, SAN.MC!$A$1:$G$256, 6, 0)</f>
        <v>3.6549999999999998</v>
      </c>
      <c r="D63" s="15">
        <f>VLOOKUP(B63, TEF.MC!$A$1:$G$256, 6, 0)</f>
        <v>3.5819999999999999</v>
      </c>
      <c r="E63">
        <f>VLOOKUP(B63, ACS.MC!$A$1:$G$256, 6, 0)</f>
        <v>35.939999</v>
      </c>
      <c r="F63">
        <f>VLOOKUP(B63, IBE.MC!$A$1:$G$256, 6, 0)</f>
        <v>10.62</v>
      </c>
      <c r="G63">
        <f>VLOOKUP(B63, IAG.MC!$A$1:$G$256, 6, 0)</f>
        <v>1.698</v>
      </c>
      <c r="H63">
        <f>VLOOKUP(B63, IBEX35!$A$1:$G$256, 6, 0)</f>
        <v>9905.4003909999992</v>
      </c>
      <c r="J63" s="13">
        <f t="shared" si="5"/>
        <v>-5.7291112916988806E-3</v>
      </c>
      <c r="K63" s="13">
        <f t="shared" si="6"/>
        <v>-2.2308988616675249E-3</v>
      </c>
      <c r="L63" s="13">
        <f t="shared" si="7"/>
        <v>-3.0559824604453846E-3</v>
      </c>
      <c r="M63" s="13">
        <f t="shared" si="8"/>
        <v>-4.6970494998692675E-3</v>
      </c>
      <c r="N63" s="13">
        <f t="shared" si="9"/>
        <v>-1.1709735672908094E-2</v>
      </c>
      <c r="O63" s="13">
        <f t="shared" si="10"/>
        <v>-1.4929995875710403E-3</v>
      </c>
    </row>
    <row r="64" spans="2:15" x14ac:dyDescent="0.2">
      <c r="B64" s="1">
        <v>45329</v>
      </c>
      <c r="C64" s="15">
        <f>VLOOKUP(B64, SAN.MC!$A$1:$G$256, 6, 0)</f>
        <v>3.6760000000000002</v>
      </c>
      <c r="D64" s="15">
        <f>VLOOKUP(B64, TEF.MC!$A$1:$G$256, 6, 0)</f>
        <v>3.59</v>
      </c>
      <c r="E64">
        <f>VLOOKUP(B64, ACS.MC!$A$1:$G$256, 6, 0)</f>
        <v>36.049999</v>
      </c>
      <c r="F64">
        <f>VLOOKUP(B64, IBE.MC!$A$1:$G$256, 6, 0)</f>
        <v>10.67</v>
      </c>
      <c r="G64">
        <f>VLOOKUP(B64, IAG.MC!$A$1:$G$256, 6, 0)</f>
        <v>1.718</v>
      </c>
      <c r="H64">
        <f>VLOOKUP(B64, IBEX35!$A$1:$G$256, 6, 0)</f>
        <v>9920.2001949999994</v>
      </c>
      <c r="J64" s="13">
        <f t="shared" si="5"/>
        <v>-1.9263746501175034E-2</v>
      </c>
      <c r="K64" s="13">
        <f t="shared" si="6"/>
        <v>-1.5204162960434047E-2</v>
      </c>
      <c r="L64" s="13">
        <f t="shared" si="7"/>
        <v>-1.240542459673913E-2</v>
      </c>
      <c r="M64" s="13">
        <f t="shared" si="8"/>
        <v>-1.2110068816512042E-2</v>
      </c>
      <c r="N64" s="13">
        <f t="shared" si="9"/>
        <v>-9.8465898367589479E-3</v>
      </c>
      <c r="O64" s="13">
        <f t="shared" si="10"/>
        <v>-8.3119459623142485E-3</v>
      </c>
    </row>
    <row r="65" spans="2:15" x14ac:dyDescent="0.2">
      <c r="B65" s="1">
        <v>45328</v>
      </c>
      <c r="C65" s="15">
        <f>VLOOKUP(B65, SAN.MC!$A$1:$G$256, 6, 0)</f>
        <v>3.7475000000000001</v>
      </c>
      <c r="D65" s="15">
        <f>VLOOKUP(B65, TEF.MC!$A$1:$G$256, 6, 0)</f>
        <v>3.645</v>
      </c>
      <c r="E65">
        <f>VLOOKUP(B65, ACS.MC!$A$1:$G$256, 6, 0)</f>
        <v>36.5</v>
      </c>
      <c r="F65">
        <f>VLOOKUP(B65, IBE.MC!$A$1:$G$256, 6, 0)</f>
        <v>10.8</v>
      </c>
      <c r="G65">
        <f>VLOOKUP(B65, IAG.MC!$A$1:$G$256, 6, 0)</f>
        <v>1.7350000000000001</v>
      </c>
      <c r="H65">
        <f>VLOOKUP(B65, IBEX35!$A$1:$G$256, 6, 0)</f>
        <v>10003</v>
      </c>
      <c r="J65" s="13">
        <f t="shared" si="5"/>
        <v>1.6954119769698878E-2</v>
      </c>
      <c r="K65" s="13">
        <f t="shared" si="6"/>
        <v>-3.8335205764482797E-3</v>
      </c>
      <c r="L65" s="13">
        <f t="shared" si="7"/>
        <v>1.096518765246653E-3</v>
      </c>
      <c r="M65" s="13">
        <f t="shared" si="8"/>
        <v>-1.9711846124132432E-2</v>
      </c>
      <c r="N65" s="13">
        <f t="shared" si="9"/>
        <v>1.5977100936014413E-2</v>
      </c>
      <c r="O65" s="13">
        <f t="shared" si="10"/>
        <v>6.1872707930269322E-3</v>
      </c>
    </row>
    <row r="66" spans="2:15" x14ac:dyDescent="0.2">
      <c r="B66" s="1">
        <v>45327</v>
      </c>
      <c r="C66" s="15">
        <f>VLOOKUP(B66, SAN.MC!$A$1:$G$256, 6, 0)</f>
        <v>3.6844999999999999</v>
      </c>
      <c r="D66" s="15">
        <f>VLOOKUP(B66, TEF.MC!$A$1:$G$256, 6, 0)</f>
        <v>3.6589999999999998</v>
      </c>
      <c r="E66">
        <f>VLOOKUP(B66, ACS.MC!$A$1:$G$256, 6, 0)</f>
        <v>36.459999000000003</v>
      </c>
      <c r="F66">
        <f>VLOOKUP(B66, IBE.MC!$A$1:$G$256, 6, 0)</f>
        <v>11.015000000000001</v>
      </c>
      <c r="G66">
        <f>VLOOKUP(B66, IAG.MC!$A$1:$G$256, 6, 0)</f>
        <v>1.7075</v>
      </c>
      <c r="H66">
        <f>VLOOKUP(B66, IBEX35!$A$1:$G$256, 6, 0)</f>
        <v>9941.2998050000006</v>
      </c>
      <c r="J66" s="13">
        <f t="shared" si="5"/>
        <v>-5.1313649723872243E-2</v>
      </c>
      <c r="K66" s="13">
        <f t="shared" si="6"/>
        <v>-1.0872626813247141E-2</v>
      </c>
      <c r="L66" s="13">
        <f t="shared" si="7"/>
        <v>-1.0911237548157577E-2</v>
      </c>
      <c r="M66" s="13">
        <f t="shared" si="8"/>
        <v>-3.1724477094553657E-3</v>
      </c>
      <c r="N66" s="13">
        <f t="shared" si="9"/>
        <v>-9.616859778693301E-3</v>
      </c>
      <c r="O66" s="13">
        <f t="shared" si="10"/>
        <v>-1.2117865534664986E-2</v>
      </c>
    </row>
    <row r="67" spans="2:15" x14ac:dyDescent="0.2">
      <c r="B67" s="1">
        <v>45324</v>
      </c>
      <c r="C67" s="15">
        <f>VLOOKUP(B67, SAN.MC!$A$1:$G$256, 6, 0)</f>
        <v>3.8784999999999998</v>
      </c>
      <c r="D67" s="15">
        <f>VLOOKUP(B67, TEF.MC!$A$1:$G$256, 6, 0)</f>
        <v>3.6989999999999998</v>
      </c>
      <c r="E67">
        <f>VLOOKUP(B67, ACS.MC!$A$1:$G$256, 6, 0)</f>
        <v>36.860000999999997</v>
      </c>
      <c r="F67">
        <f>VLOOKUP(B67, IBE.MC!$A$1:$G$256, 6, 0)</f>
        <v>11.05</v>
      </c>
      <c r="G67">
        <f>VLOOKUP(B67, IAG.MC!$A$1:$G$256, 6, 0)</f>
        <v>1.724</v>
      </c>
      <c r="H67">
        <f>VLOOKUP(B67, IBEX35!$A$1:$G$256, 6, 0)</f>
        <v>10062.5</v>
      </c>
      <c r="J67" s="13">
        <f t="shared" si="5"/>
        <v>3.6362869522348511E-2</v>
      </c>
      <c r="K67" s="13">
        <f t="shared" si="6"/>
        <v>-8.3457208054072869E-3</v>
      </c>
      <c r="L67" s="13">
        <f t="shared" si="7"/>
        <v>6.8055249242708867E-3</v>
      </c>
      <c r="M67" s="13">
        <f t="shared" si="8"/>
        <v>-6.7644000885420368E-3</v>
      </c>
      <c r="N67" s="13">
        <f t="shared" si="9"/>
        <v>9.0313796682919018E-3</v>
      </c>
      <c r="O67" s="13">
        <f t="shared" si="10"/>
        <v>4.8315288369286877E-3</v>
      </c>
    </row>
    <row r="68" spans="2:15" x14ac:dyDescent="0.2">
      <c r="B68" s="1">
        <v>45323</v>
      </c>
      <c r="C68" s="15">
        <f>VLOOKUP(B68, SAN.MC!$A$1:$G$256, 6, 0)</f>
        <v>3.74</v>
      </c>
      <c r="D68" s="15">
        <f>VLOOKUP(B68, TEF.MC!$A$1:$G$256, 6, 0)</f>
        <v>3.73</v>
      </c>
      <c r="E68">
        <f>VLOOKUP(B68, ACS.MC!$A$1:$G$256, 6, 0)</f>
        <v>36.610000999999997</v>
      </c>
      <c r="F68">
        <f>VLOOKUP(B68, IBE.MC!$A$1:$G$256, 6, 0)</f>
        <v>11.125</v>
      </c>
      <c r="G68">
        <f>VLOOKUP(B68, IAG.MC!$A$1:$G$256, 6, 0)</f>
        <v>1.7084999999999999</v>
      </c>
      <c r="H68">
        <f>VLOOKUP(B68, IBEX35!$A$1:$G$256, 6, 0)</f>
        <v>10014</v>
      </c>
      <c r="J68" s="13">
        <f t="shared" si="5"/>
        <v>1.2039329927218247E-3</v>
      </c>
      <c r="K68" s="13">
        <f t="shared" si="6"/>
        <v>-1.0666767804195192E-2</v>
      </c>
      <c r="L68" s="13">
        <f t="shared" si="7"/>
        <v>5.4647541597009489E-4</v>
      </c>
      <c r="M68" s="13">
        <f t="shared" si="8"/>
        <v>-4.484312447328687E-3</v>
      </c>
      <c r="N68" s="13">
        <f t="shared" si="9"/>
        <v>-1.5679763746494515E-2</v>
      </c>
      <c r="O68" s="13">
        <f t="shared" si="10"/>
        <v>-6.3409674461625326E-3</v>
      </c>
    </row>
    <row r="69" spans="2:15" x14ac:dyDescent="0.2">
      <c r="B69" s="1">
        <v>45322</v>
      </c>
      <c r="C69" s="15">
        <f>VLOOKUP(B69, SAN.MC!$A$1:$G$256, 6, 0)</f>
        <v>3.7355</v>
      </c>
      <c r="D69" s="15">
        <f>VLOOKUP(B69, TEF.MC!$A$1:$G$256, 6, 0)</f>
        <v>3.77</v>
      </c>
      <c r="E69">
        <f>VLOOKUP(B69, ACS.MC!$A$1:$G$256, 6, 0)</f>
        <v>36.590000000000003</v>
      </c>
      <c r="F69">
        <f>VLOOKUP(B69, IBE.MC!$A$1:$G$256, 6, 0)</f>
        <v>11.175000000000001</v>
      </c>
      <c r="G69">
        <f>VLOOKUP(B69, IAG.MC!$A$1:$G$256, 6, 0)</f>
        <v>1.7355</v>
      </c>
      <c r="H69">
        <f>VLOOKUP(B69, IBEX35!$A$1:$G$256, 6, 0)</f>
        <v>10077.700194999999</v>
      </c>
      <c r="J69" s="13">
        <f t="shared" si="5"/>
        <v>2.0555152374574219E-2</v>
      </c>
      <c r="K69" s="13">
        <f t="shared" si="6"/>
        <v>2.6528717492104185E-4</v>
      </c>
      <c r="L69" s="13">
        <f t="shared" si="7"/>
        <v>9.6114426687006326E-3</v>
      </c>
      <c r="M69" s="13">
        <f t="shared" si="8"/>
        <v>7.1845841150754005E-3</v>
      </c>
      <c r="N69" s="13">
        <f t="shared" si="9"/>
        <v>-1.1742938893220986E-2</v>
      </c>
      <c r="O69" s="13">
        <f t="shared" si="10"/>
        <v>3.817710060165294E-3</v>
      </c>
    </row>
    <row r="70" spans="2:15" x14ac:dyDescent="0.2">
      <c r="B70" s="1">
        <v>45321</v>
      </c>
      <c r="C70" s="15">
        <f>VLOOKUP(B70, SAN.MC!$A$1:$G$256, 6, 0)</f>
        <v>3.6595</v>
      </c>
      <c r="D70" s="15">
        <f>VLOOKUP(B70, TEF.MC!$A$1:$G$256, 6, 0)</f>
        <v>3.7690000000000001</v>
      </c>
      <c r="E70">
        <f>VLOOKUP(B70, ACS.MC!$A$1:$G$256, 6, 0)</f>
        <v>36.240001999999997</v>
      </c>
      <c r="F70">
        <f>VLOOKUP(B70, IBE.MC!$A$1:$G$256, 6, 0)</f>
        <v>11.095000000000001</v>
      </c>
      <c r="G70">
        <f>VLOOKUP(B70, IAG.MC!$A$1:$G$256, 6, 0)</f>
        <v>1.756</v>
      </c>
      <c r="H70">
        <f>VLOOKUP(B70, IBEX35!$A$1:$G$256, 6, 0)</f>
        <v>10039.299805000001</v>
      </c>
      <c r="J70" s="13">
        <f t="shared" si="5"/>
        <v>2.4200863044892214E-2</v>
      </c>
      <c r="K70" s="13">
        <f t="shared" si="6"/>
        <v>-1.239303930104161E-2</v>
      </c>
      <c r="L70" s="13">
        <f t="shared" si="7"/>
        <v>1.6133923927420645E-2</v>
      </c>
      <c r="M70" s="13">
        <f t="shared" si="8"/>
        <v>6.7827526597888758E-3</v>
      </c>
      <c r="N70" s="13">
        <f t="shared" si="9"/>
        <v>-2.0014762549946549E-2</v>
      </c>
      <c r="O70" s="13">
        <f t="shared" si="10"/>
        <v>1.495291216509962E-2</v>
      </c>
    </row>
    <row r="71" spans="2:15" x14ac:dyDescent="0.2">
      <c r="B71" s="1">
        <v>45320</v>
      </c>
      <c r="C71" s="15">
        <f>VLOOKUP(B71, SAN.MC!$A$1:$G$256, 6, 0)</f>
        <v>3.5720000000000001</v>
      </c>
      <c r="D71" s="15">
        <f>VLOOKUP(B71, TEF.MC!$A$1:$G$256, 6, 0)</f>
        <v>3.8159999999999998</v>
      </c>
      <c r="E71">
        <f>VLOOKUP(B71, ACS.MC!$A$1:$G$256, 6, 0)</f>
        <v>35.659999999999997</v>
      </c>
      <c r="F71">
        <f>VLOOKUP(B71, IBE.MC!$A$1:$G$256, 6, 0)</f>
        <v>11.02</v>
      </c>
      <c r="G71">
        <f>VLOOKUP(B71, IAG.MC!$A$1:$G$256, 6, 0)</f>
        <v>1.7915000000000001</v>
      </c>
      <c r="H71">
        <f>VLOOKUP(B71, IBEX35!$A$1:$G$256, 6, 0)</f>
        <v>9890.2998050000006</v>
      </c>
      <c r="J71" s="13">
        <f t="shared" si="5"/>
        <v>-2.0916338400550964E-2</v>
      </c>
      <c r="K71" s="13">
        <f t="shared" si="6"/>
        <v>-1.8327011282357275E-3</v>
      </c>
      <c r="L71" s="13">
        <f t="shared" si="7"/>
        <v>-0.10530440359563245</v>
      </c>
      <c r="M71" s="13">
        <f t="shared" si="8"/>
        <v>4.5475294376295158E-3</v>
      </c>
      <c r="N71" s="13">
        <f t="shared" si="9"/>
        <v>-8.8914172879112179E-3</v>
      </c>
      <c r="O71" s="13">
        <f t="shared" si="10"/>
        <v>-4.6704113632363145E-3</v>
      </c>
    </row>
    <row r="72" spans="2:15" x14ac:dyDescent="0.2">
      <c r="B72" s="1">
        <v>45317</v>
      </c>
      <c r="C72" s="15">
        <f>VLOOKUP(B72, SAN.MC!$A$1:$G$256, 6, 0)</f>
        <v>3.6475</v>
      </c>
      <c r="D72" s="15">
        <f>VLOOKUP(B72, TEF.MC!$A$1:$G$256, 6, 0)</f>
        <v>3.823</v>
      </c>
      <c r="E72">
        <f>VLOOKUP(B72, ACS.MC!$A$1:$G$256, 6, 0)</f>
        <v>39.619999</v>
      </c>
      <c r="F72">
        <f>VLOOKUP(B72, IBE.MC!$A$1:$G$256, 6, 0)</f>
        <v>10.97</v>
      </c>
      <c r="G72">
        <f>VLOOKUP(B72, IAG.MC!$A$1:$G$256, 6, 0)</f>
        <v>1.8075000000000001</v>
      </c>
      <c r="H72">
        <f>VLOOKUP(B72, IBEX35!$A$1:$G$256, 6, 0)</f>
        <v>9936.5996090000008</v>
      </c>
      <c r="J72" s="13">
        <f t="shared" si="5"/>
        <v>4.809353138044324E-3</v>
      </c>
      <c r="K72" s="13">
        <f t="shared" si="6"/>
        <v>7.3510438666825962E-3</v>
      </c>
      <c r="L72" s="13">
        <f t="shared" si="7"/>
        <v>3.0333441235505473E-3</v>
      </c>
      <c r="M72" s="13">
        <f t="shared" si="8"/>
        <v>-9.0744724334066076E-3</v>
      </c>
      <c r="N72" s="13">
        <f t="shared" si="9"/>
        <v>-6.3422244852023605E-3</v>
      </c>
      <c r="O72" s="13">
        <f t="shared" si="10"/>
        <v>2.0147893088679784E-3</v>
      </c>
    </row>
    <row r="73" spans="2:15" x14ac:dyDescent="0.2">
      <c r="B73" s="1">
        <v>45316</v>
      </c>
      <c r="C73" s="15">
        <f>VLOOKUP(B73, SAN.MC!$A$1:$G$256, 6, 0)</f>
        <v>3.63</v>
      </c>
      <c r="D73" s="15">
        <f>VLOOKUP(B73, TEF.MC!$A$1:$G$256, 6, 0)</f>
        <v>3.7949999999999999</v>
      </c>
      <c r="E73">
        <f>VLOOKUP(B73, ACS.MC!$A$1:$G$256, 6, 0)</f>
        <v>39.5</v>
      </c>
      <c r="F73">
        <f>VLOOKUP(B73, IBE.MC!$A$1:$G$256, 6, 0)</f>
        <v>11.07</v>
      </c>
      <c r="G73">
        <f>VLOOKUP(B73, IAG.MC!$A$1:$G$256, 6, 0)</f>
        <v>1.819</v>
      </c>
      <c r="H73">
        <f>VLOOKUP(B73, IBEX35!$A$1:$G$256, 6, 0)</f>
        <v>9916.5996090000008</v>
      </c>
      <c r="J73" s="13">
        <f t="shared" si="5"/>
        <v>-2.6773359724953014E-2</v>
      </c>
      <c r="K73" s="13">
        <f t="shared" si="6"/>
        <v>-4.7318700278334768E-3</v>
      </c>
      <c r="L73" s="13">
        <f t="shared" si="7"/>
        <v>-4.0424511845736618E-3</v>
      </c>
      <c r="M73" s="13">
        <f t="shared" si="8"/>
        <v>-4.9560813317583632E-3</v>
      </c>
      <c r="N73" s="13">
        <f t="shared" si="9"/>
        <v>1.495458498324638E-2</v>
      </c>
      <c r="O73" s="13">
        <f t="shared" si="10"/>
        <v>-5.771625940911968E-3</v>
      </c>
    </row>
    <row r="74" spans="2:15" x14ac:dyDescent="0.2">
      <c r="B74" s="1">
        <v>45315</v>
      </c>
      <c r="C74" s="15">
        <f>VLOOKUP(B74, SAN.MC!$A$1:$G$256, 6, 0)</f>
        <v>3.7284999999999999</v>
      </c>
      <c r="D74" s="15">
        <f>VLOOKUP(B74, TEF.MC!$A$1:$G$256, 6, 0)</f>
        <v>3.8130000000000002</v>
      </c>
      <c r="E74">
        <f>VLOOKUP(B74, ACS.MC!$A$1:$G$256, 6, 0)</f>
        <v>39.659999999999997</v>
      </c>
      <c r="F74">
        <f>VLOOKUP(B74, IBE.MC!$A$1:$G$256, 6, 0)</f>
        <v>11.125</v>
      </c>
      <c r="G74">
        <f>VLOOKUP(B74, IAG.MC!$A$1:$G$256, 6, 0)</f>
        <v>1.792</v>
      </c>
      <c r="H74">
        <f>VLOOKUP(B74, IBEX35!$A$1:$G$256, 6, 0)</f>
        <v>9974</v>
      </c>
      <c r="J74" s="13">
        <f t="shared" ref="J74:J137" si="11">LN(C74/C75)</f>
        <v>1.5678115433013461E-2</v>
      </c>
      <c r="K74" s="13">
        <f t="shared" ref="K74:K137" si="12">LN(D74/D75)</f>
        <v>-1.8341417430569852E-3</v>
      </c>
      <c r="L74" s="13">
        <f t="shared" ref="L74:L137" si="13">LN(E74/E75)</f>
        <v>8.3554857961657836E-3</v>
      </c>
      <c r="M74" s="13">
        <f t="shared" ref="M74:M137" si="14">LN(F74/F75)</f>
        <v>6.7644000885420628E-3</v>
      </c>
      <c r="N74" s="13">
        <f t="shared" ref="N74:N137" si="15">LN(G74/G75)</f>
        <v>3.347830381926966E-2</v>
      </c>
      <c r="O74" s="13">
        <f t="shared" ref="O74:O137" si="16">LN(H74/H75)</f>
        <v>1.1576657925238369E-2</v>
      </c>
    </row>
    <row r="75" spans="2:15" x14ac:dyDescent="0.2">
      <c r="B75" s="1">
        <v>45314</v>
      </c>
      <c r="C75" s="15">
        <f>VLOOKUP(B75, SAN.MC!$A$1:$G$256, 6, 0)</f>
        <v>3.6705000000000001</v>
      </c>
      <c r="D75" s="15">
        <f>VLOOKUP(B75, TEF.MC!$A$1:$G$256, 6, 0)</f>
        <v>3.82</v>
      </c>
      <c r="E75">
        <f>VLOOKUP(B75, ACS.MC!$A$1:$G$256, 6, 0)</f>
        <v>39.330002</v>
      </c>
      <c r="F75">
        <f>VLOOKUP(B75, IBE.MC!$A$1:$G$256, 6, 0)</f>
        <v>11.05</v>
      </c>
      <c r="G75">
        <f>VLOOKUP(B75, IAG.MC!$A$1:$G$256, 6, 0)</f>
        <v>1.7330000000000001</v>
      </c>
      <c r="H75">
        <f>VLOOKUP(B75, IBEX35!$A$1:$G$256, 6, 0)</f>
        <v>9859.2001949999994</v>
      </c>
      <c r="J75" s="13">
        <f t="shared" si="11"/>
        <v>-1.7152152550831818E-2</v>
      </c>
      <c r="K75" s="13">
        <f t="shared" si="12"/>
        <v>1.8341417430570099E-3</v>
      </c>
      <c r="L75" s="13">
        <f t="shared" si="13"/>
        <v>-1.0622203804856881E-2</v>
      </c>
      <c r="M75" s="13">
        <f t="shared" si="14"/>
        <v>-1.8826194747782458E-2</v>
      </c>
      <c r="N75" s="13">
        <f t="shared" si="15"/>
        <v>2.1876328149912729E-2</v>
      </c>
      <c r="O75" s="13">
        <f t="shared" si="16"/>
        <v>-1.0984905673683539E-2</v>
      </c>
    </row>
    <row r="76" spans="2:15" x14ac:dyDescent="0.2">
      <c r="B76" s="1">
        <v>45313</v>
      </c>
      <c r="C76" s="15">
        <f>VLOOKUP(B76, SAN.MC!$A$1:$G$256, 6, 0)</f>
        <v>3.734</v>
      </c>
      <c r="D76" s="15">
        <f>VLOOKUP(B76, TEF.MC!$A$1:$G$256, 6, 0)</f>
        <v>3.8130000000000002</v>
      </c>
      <c r="E76">
        <f>VLOOKUP(B76, ACS.MC!$A$1:$G$256, 6, 0)</f>
        <v>39.75</v>
      </c>
      <c r="F76">
        <f>VLOOKUP(B76, IBE.MC!$A$1:$G$256, 6, 0)</f>
        <v>11.26</v>
      </c>
      <c r="G76">
        <f>VLOOKUP(B76, IAG.MC!$A$1:$G$256, 6, 0)</f>
        <v>1.6955</v>
      </c>
      <c r="H76">
        <f>VLOOKUP(B76, IBEX35!$A$1:$G$256, 6, 0)</f>
        <v>9968.0996090000008</v>
      </c>
      <c r="J76" s="13">
        <f t="shared" si="11"/>
        <v>6.4481685001870357E-3</v>
      </c>
      <c r="K76" s="13">
        <f t="shared" si="12"/>
        <v>8.6922712439305577E-3</v>
      </c>
      <c r="L76" s="13">
        <f t="shared" si="13"/>
        <v>7.8293367208760768E-3</v>
      </c>
      <c r="M76" s="13">
        <f t="shared" si="14"/>
        <v>3.5587226169939328E-3</v>
      </c>
      <c r="N76" s="13">
        <f t="shared" si="15"/>
        <v>1.1866054388328294E-2</v>
      </c>
      <c r="O76" s="13">
        <f t="shared" si="16"/>
        <v>1.1076234696188906E-2</v>
      </c>
    </row>
    <row r="77" spans="2:15" x14ac:dyDescent="0.2">
      <c r="B77" s="1">
        <v>45310</v>
      </c>
      <c r="C77" s="15">
        <f>VLOOKUP(B77, SAN.MC!$A$1:$G$256, 6, 0)</f>
        <v>3.71</v>
      </c>
      <c r="D77" s="15">
        <f>VLOOKUP(B77, TEF.MC!$A$1:$G$256, 6, 0)</f>
        <v>3.78</v>
      </c>
      <c r="E77">
        <f>VLOOKUP(B77, ACS.MC!$A$1:$G$256, 6, 0)</f>
        <v>39.439999</v>
      </c>
      <c r="F77">
        <f>VLOOKUP(B77, IBE.MC!$A$1:$G$256, 6, 0)</f>
        <v>11.22</v>
      </c>
      <c r="G77">
        <f>VLOOKUP(B77, IAG.MC!$A$1:$G$256, 6, 0)</f>
        <v>1.6755</v>
      </c>
      <c r="H77">
        <f>VLOOKUP(B77, IBEX35!$A$1:$G$256, 6, 0)</f>
        <v>9858.2998050000006</v>
      </c>
      <c r="J77" s="13">
        <f t="shared" si="11"/>
        <v>-2.0195227328292709E-3</v>
      </c>
      <c r="K77" s="13">
        <f t="shared" si="12"/>
        <v>1.2511809699049449E-2</v>
      </c>
      <c r="L77" s="13">
        <f t="shared" si="13"/>
        <v>1.7468526292182332E-2</v>
      </c>
      <c r="M77" s="13">
        <f t="shared" si="14"/>
        <v>-4.0026737896574445E-3</v>
      </c>
      <c r="N77" s="13">
        <f t="shared" si="15"/>
        <v>-4.7633314237641019E-3</v>
      </c>
      <c r="O77" s="13">
        <f t="shared" si="16"/>
        <v>-2.2291357588277226E-3</v>
      </c>
    </row>
    <row r="78" spans="2:15" x14ac:dyDescent="0.2">
      <c r="B78" s="1">
        <v>45309</v>
      </c>
      <c r="C78" s="15">
        <f>VLOOKUP(B78, SAN.MC!$A$1:$G$256, 6, 0)</f>
        <v>3.7174999999999998</v>
      </c>
      <c r="D78" s="15">
        <f>VLOOKUP(B78, TEF.MC!$A$1:$G$256, 6, 0)</f>
        <v>3.7330000000000001</v>
      </c>
      <c r="E78">
        <f>VLOOKUP(B78, ACS.MC!$A$1:$G$256, 6, 0)</f>
        <v>38.757022999999997</v>
      </c>
      <c r="F78">
        <f>VLOOKUP(B78, IBE.MC!$A$1:$G$256, 6, 0)</f>
        <v>11.265000000000001</v>
      </c>
      <c r="G78">
        <f>VLOOKUP(B78, IAG.MC!$A$1:$G$256, 6, 0)</f>
        <v>1.6835</v>
      </c>
      <c r="H78">
        <f>VLOOKUP(B78, IBEX35!$A$1:$G$256, 6, 0)</f>
        <v>9880.2998050000006</v>
      </c>
      <c r="J78" s="13">
        <f t="shared" si="11"/>
        <v>1.4359498968405186E-2</v>
      </c>
      <c r="K78" s="13">
        <f t="shared" si="12"/>
        <v>-1.0128018343773222E-2</v>
      </c>
      <c r="L78" s="13">
        <f t="shared" si="13"/>
        <v>-2.520257820571454E-4</v>
      </c>
      <c r="M78" s="13">
        <f t="shared" si="14"/>
        <v>-1.6289156116040832E-2</v>
      </c>
      <c r="N78" s="13">
        <f t="shared" si="15"/>
        <v>1.6771881613828182E-2</v>
      </c>
      <c r="O78" s="13">
        <f t="shared" si="16"/>
        <v>1.2659447659522391E-3</v>
      </c>
    </row>
    <row r="79" spans="2:15" x14ac:dyDescent="0.2">
      <c r="B79" s="1">
        <v>45308</v>
      </c>
      <c r="C79" s="15">
        <f>VLOOKUP(B79, SAN.MC!$A$1:$G$256, 6, 0)</f>
        <v>3.6644999999999999</v>
      </c>
      <c r="D79" s="15">
        <f>VLOOKUP(B79, TEF.MC!$A$1:$G$256, 6, 0)</f>
        <v>3.7709999999999999</v>
      </c>
      <c r="E79">
        <f>VLOOKUP(B79, ACS.MC!$A$1:$G$256, 6, 0)</f>
        <v>38.766792000000002</v>
      </c>
      <c r="F79">
        <f>VLOOKUP(B79, IBE.MC!$A$1:$G$256, 6, 0)</f>
        <v>11.45</v>
      </c>
      <c r="G79">
        <f>VLOOKUP(B79, IAG.MC!$A$1:$G$256, 6, 0)</f>
        <v>1.6555</v>
      </c>
      <c r="H79">
        <f>VLOOKUP(B79, IBEX35!$A$1:$G$256, 6, 0)</f>
        <v>9867.7998050000006</v>
      </c>
      <c r="J79" s="13">
        <f t="shared" si="11"/>
        <v>-1.3552179225956199E-2</v>
      </c>
      <c r="K79" s="13">
        <f t="shared" si="12"/>
        <v>-1.0601644247679608E-3</v>
      </c>
      <c r="L79" s="13">
        <f t="shared" si="13"/>
        <v>-2.2655842230409518E-3</v>
      </c>
      <c r="M79" s="13">
        <f t="shared" si="14"/>
        <v>-8.6957069675540448E-3</v>
      </c>
      <c r="N79" s="13">
        <f t="shared" si="15"/>
        <v>-9.0566043926196152E-4</v>
      </c>
      <c r="O79" s="13">
        <f t="shared" si="16"/>
        <v>-1.2717968583409824E-2</v>
      </c>
    </row>
    <row r="80" spans="2:15" x14ac:dyDescent="0.2">
      <c r="B80" s="1">
        <v>45307</v>
      </c>
      <c r="C80" s="15">
        <f>VLOOKUP(B80, SAN.MC!$A$1:$G$256, 6, 0)</f>
        <v>3.7145000000000001</v>
      </c>
      <c r="D80" s="15">
        <f>VLOOKUP(B80, TEF.MC!$A$1:$G$256, 6, 0)</f>
        <v>3.7749999999999999</v>
      </c>
      <c r="E80">
        <f>VLOOKUP(B80, ACS.MC!$A$1:$G$256, 6, 0)</f>
        <v>38.854720999999998</v>
      </c>
      <c r="F80">
        <f>VLOOKUP(B80, IBE.MC!$A$1:$G$256, 6, 0)</f>
        <v>11.55</v>
      </c>
      <c r="G80">
        <f>VLOOKUP(B80, IAG.MC!$A$1:$G$256, 6, 0)</f>
        <v>1.657</v>
      </c>
      <c r="H80">
        <f>VLOOKUP(B80, IBEX35!$A$1:$G$256, 6, 0)</f>
        <v>9994.0996090000008</v>
      </c>
      <c r="J80" s="13">
        <f t="shared" si="11"/>
        <v>-1.2174877792079193E-2</v>
      </c>
      <c r="K80" s="13">
        <f t="shared" si="12"/>
        <v>7.9501792977689769E-4</v>
      </c>
      <c r="L80" s="13">
        <f t="shared" si="13"/>
        <v>-1.2245535836880941E-2</v>
      </c>
      <c r="M80" s="13">
        <f t="shared" si="14"/>
        <v>-9.9074685055906084E-3</v>
      </c>
      <c r="N80" s="13">
        <f t="shared" si="15"/>
        <v>-2.1493364706572378E-2</v>
      </c>
      <c r="O80" s="13">
        <f t="shared" si="16"/>
        <v>-8.2508347097990636E-3</v>
      </c>
    </row>
    <row r="81" spans="2:15" x14ac:dyDescent="0.2">
      <c r="B81" s="1">
        <v>45306</v>
      </c>
      <c r="C81" s="15">
        <f>VLOOKUP(B81, SAN.MC!$A$1:$G$256, 6, 0)</f>
        <v>3.76</v>
      </c>
      <c r="D81" s="15">
        <f>VLOOKUP(B81, TEF.MC!$A$1:$G$256, 6, 0)</f>
        <v>3.7719999999999998</v>
      </c>
      <c r="E81">
        <f>VLOOKUP(B81, ACS.MC!$A$1:$G$256, 6, 0)</f>
        <v>39.333443000000003</v>
      </c>
      <c r="F81">
        <f>VLOOKUP(B81, IBE.MC!$A$1:$G$256, 6, 0)</f>
        <v>11.664999999999999</v>
      </c>
      <c r="G81">
        <f>VLOOKUP(B81, IAG.MC!$A$1:$G$256, 6, 0)</f>
        <v>1.6930000000000001</v>
      </c>
      <c r="H81">
        <f>VLOOKUP(B81, IBEX35!$A$1:$G$256, 6, 0)</f>
        <v>10076.900390999999</v>
      </c>
      <c r="J81" s="13">
        <f t="shared" si="11"/>
        <v>-1.0976768284551203E-2</v>
      </c>
      <c r="K81" s="13">
        <f t="shared" si="12"/>
        <v>1.4150549828278141E-2</v>
      </c>
      <c r="L81" s="13">
        <f t="shared" si="13"/>
        <v>1.7401354289580675E-3</v>
      </c>
      <c r="M81" s="13">
        <f t="shared" si="14"/>
        <v>-8.5689808156783488E-4</v>
      </c>
      <c r="N81" s="13">
        <f t="shared" si="15"/>
        <v>6.5185416002419535E-3</v>
      </c>
      <c r="O81" s="13">
        <f t="shared" si="16"/>
        <v>-1.7747060013832685E-3</v>
      </c>
    </row>
    <row r="82" spans="2:15" x14ac:dyDescent="0.2">
      <c r="B82" s="1">
        <v>45303</v>
      </c>
      <c r="C82" s="15">
        <f>VLOOKUP(B82, SAN.MC!$A$1:$G$256, 6, 0)</f>
        <v>3.8014999999999999</v>
      </c>
      <c r="D82" s="15">
        <f>VLOOKUP(B82, TEF.MC!$A$1:$G$256, 6, 0)</f>
        <v>3.7189999999999999</v>
      </c>
      <c r="E82">
        <f>VLOOKUP(B82, ACS.MC!$A$1:$G$256, 6, 0)</f>
        <v>39.265056999999999</v>
      </c>
      <c r="F82">
        <f>VLOOKUP(B82, IBE.MC!$A$1:$G$256, 6, 0)</f>
        <v>11.675000000000001</v>
      </c>
      <c r="G82">
        <f>VLOOKUP(B82, IAG.MC!$A$1:$G$256, 6, 0)</f>
        <v>1.6819999999999999</v>
      </c>
      <c r="H82">
        <f>VLOOKUP(B82, IBEX35!$A$1:$G$256, 6, 0)</f>
        <v>10094.799805000001</v>
      </c>
      <c r="J82" s="13">
        <f t="shared" si="11"/>
        <v>2.2384629795923934E-3</v>
      </c>
      <c r="K82" s="13">
        <f t="shared" si="12"/>
        <v>-1.3435444718877902E-3</v>
      </c>
      <c r="L82" s="13">
        <f t="shared" si="13"/>
        <v>1.529431217030148E-2</v>
      </c>
      <c r="M82" s="13">
        <f t="shared" si="14"/>
        <v>1.3365148287215876E-2</v>
      </c>
      <c r="N82" s="13">
        <f t="shared" si="15"/>
        <v>-2.6691715108931674E-2</v>
      </c>
      <c r="O82" s="13">
        <f t="shared" si="16"/>
        <v>8.9454083995576198E-3</v>
      </c>
    </row>
    <row r="83" spans="2:15" x14ac:dyDescent="0.2">
      <c r="B83" s="1">
        <v>45302</v>
      </c>
      <c r="C83" s="15">
        <f>VLOOKUP(B83, SAN.MC!$A$1:$G$256, 6, 0)</f>
        <v>3.7930000000000001</v>
      </c>
      <c r="D83" s="15">
        <f>VLOOKUP(B83, TEF.MC!$A$1:$G$256, 6, 0)</f>
        <v>3.7240000000000002</v>
      </c>
      <c r="E83">
        <f>VLOOKUP(B83, ACS.MC!$A$1:$G$256, 6, 0)</f>
        <v>38.669094000000001</v>
      </c>
      <c r="F83">
        <f>VLOOKUP(B83, IBE.MC!$A$1:$G$256, 6, 0)</f>
        <v>11.52</v>
      </c>
      <c r="G83">
        <f>VLOOKUP(B83, IAG.MC!$A$1:$G$256, 6, 0)</f>
        <v>1.7275</v>
      </c>
      <c r="H83">
        <f>VLOOKUP(B83, IBEX35!$A$1:$G$256, 6, 0)</f>
        <v>10004.900390999999</v>
      </c>
      <c r="J83" s="13">
        <f t="shared" si="11"/>
        <v>-1.4656111594847194E-2</v>
      </c>
      <c r="K83" s="13">
        <f t="shared" si="12"/>
        <v>3.7664827954768648E-3</v>
      </c>
      <c r="L83" s="13">
        <f t="shared" si="13"/>
        <v>3.7970220083282605E-3</v>
      </c>
      <c r="M83" s="13">
        <f t="shared" si="14"/>
        <v>-7.3513844586553089E-3</v>
      </c>
      <c r="N83" s="13">
        <f t="shared" si="15"/>
        <v>-1.2368919376777155E-2</v>
      </c>
      <c r="O83" s="13">
        <f t="shared" si="16"/>
        <v>-6.1976302403768009E-3</v>
      </c>
    </row>
    <row r="84" spans="2:15" x14ac:dyDescent="0.2">
      <c r="B84" s="1">
        <v>45301</v>
      </c>
      <c r="C84" s="15">
        <f>VLOOKUP(B84, SAN.MC!$A$1:$G$256, 6, 0)</f>
        <v>3.8490000000000002</v>
      </c>
      <c r="D84" s="15">
        <f>VLOOKUP(B84, TEF.MC!$A$1:$G$256, 6, 0)</f>
        <v>3.71</v>
      </c>
      <c r="E84">
        <f>VLOOKUP(B84, ACS.MC!$A$1:$G$256, 6, 0)</f>
        <v>38.522545000000001</v>
      </c>
      <c r="F84">
        <f>VLOOKUP(B84, IBE.MC!$A$1:$G$256, 6, 0)</f>
        <v>11.605</v>
      </c>
      <c r="G84">
        <f>VLOOKUP(B84, IAG.MC!$A$1:$G$256, 6, 0)</f>
        <v>1.7490000000000001</v>
      </c>
      <c r="H84">
        <f>VLOOKUP(B84, IBEX35!$A$1:$G$256, 6, 0)</f>
        <v>10067.099609000001</v>
      </c>
      <c r="J84" s="13">
        <f t="shared" si="11"/>
        <v>-1.098131311569674E-2</v>
      </c>
      <c r="K84" s="13">
        <f t="shared" si="12"/>
        <v>-5.3763570363804056E-3</v>
      </c>
      <c r="L84" s="13">
        <f t="shared" si="13"/>
        <v>-2.7859365422961786E-3</v>
      </c>
      <c r="M84" s="13">
        <f t="shared" si="14"/>
        <v>-3.0114025768913913E-3</v>
      </c>
      <c r="N84" s="13">
        <f t="shared" si="15"/>
        <v>-3.4246608813639917E-3</v>
      </c>
      <c r="O84" s="13">
        <f t="shared" si="16"/>
        <v>6.7567638708144692E-4</v>
      </c>
    </row>
    <row r="85" spans="2:15" x14ac:dyDescent="0.2">
      <c r="B85" s="1">
        <v>45300</v>
      </c>
      <c r="C85" s="15">
        <f>VLOOKUP(B85, SAN.MC!$A$1:$G$256, 6, 0)</f>
        <v>3.8915000000000002</v>
      </c>
      <c r="D85" s="15">
        <f>VLOOKUP(B85, TEF.MC!$A$1:$G$256, 6, 0)</f>
        <v>3.73</v>
      </c>
      <c r="E85">
        <f>VLOOKUP(B85, ACS.MC!$A$1:$G$256, 6, 0)</f>
        <v>38.630015999999998</v>
      </c>
      <c r="F85">
        <f>VLOOKUP(B85, IBE.MC!$A$1:$G$256, 6, 0)</f>
        <v>11.64</v>
      </c>
      <c r="G85">
        <f>VLOOKUP(B85, IAG.MC!$A$1:$G$256, 6, 0)</f>
        <v>1.7549999999999999</v>
      </c>
      <c r="H85">
        <f>VLOOKUP(B85, IBEX35!$A$1:$G$256, 6, 0)</f>
        <v>10060.299805000001</v>
      </c>
      <c r="J85" s="13">
        <f t="shared" si="11"/>
        <v>-9.7175039067867019E-3</v>
      </c>
      <c r="K85" s="13">
        <f t="shared" si="12"/>
        <v>-5.3604932937325071E-4</v>
      </c>
      <c r="L85" s="13">
        <f t="shared" si="13"/>
        <v>-1.1066441595227227E-2</v>
      </c>
      <c r="M85" s="13">
        <f t="shared" si="14"/>
        <v>-1.3058692804541049E-2</v>
      </c>
      <c r="N85" s="13">
        <f t="shared" si="15"/>
        <v>-7.6628727455691371E-3</v>
      </c>
      <c r="O85" s="13">
        <f t="shared" si="16"/>
        <v>-1.467271826948589E-2</v>
      </c>
    </row>
    <row r="86" spans="2:15" x14ac:dyDescent="0.2">
      <c r="B86" s="1">
        <v>45299</v>
      </c>
      <c r="C86" s="15">
        <f>VLOOKUP(B86, SAN.MC!$A$1:$G$256, 6, 0)</f>
        <v>3.9295</v>
      </c>
      <c r="D86" s="15">
        <f>VLOOKUP(B86, TEF.MC!$A$1:$G$256, 6, 0)</f>
        <v>3.7320000000000002</v>
      </c>
      <c r="E86">
        <f>VLOOKUP(B86, ACS.MC!$A$1:$G$256, 6, 0)</f>
        <v>39.059887000000003</v>
      </c>
      <c r="F86">
        <f>VLOOKUP(B86, IBE.MC!$A$1:$G$256, 6, 0)</f>
        <v>11.792999999999999</v>
      </c>
      <c r="G86">
        <f>VLOOKUP(B86, IAG.MC!$A$1:$G$256, 6, 0)</f>
        <v>1.7685</v>
      </c>
      <c r="H86">
        <f>VLOOKUP(B86, IBEX35!$A$1:$G$256, 6, 0)</f>
        <v>10209</v>
      </c>
      <c r="J86" s="13">
        <f t="shared" si="11"/>
        <v>4.3356354578209643E-3</v>
      </c>
      <c r="K86" s="13">
        <f t="shared" si="12"/>
        <v>1.0234401208049197E-2</v>
      </c>
      <c r="L86" s="13">
        <f t="shared" si="13"/>
        <v>7.0281417144467508E-3</v>
      </c>
      <c r="M86" s="13">
        <f t="shared" si="14"/>
        <v>-3.329142321375848E-3</v>
      </c>
      <c r="N86" s="13">
        <f t="shared" si="15"/>
        <v>5.6561087480732969E-4</v>
      </c>
      <c r="O86" s="13">
        <f t="shared" si="16"/>
        <v>4.3684267078966483E-3</v>
      </c>
    </row>
    <row r="87" spans="2:15" x14ac:dyDescent="0.2">
      <c r="B87" s="1">
        <v>45296</v>
      </c>
      <c r="C87" s="15">
        <f>VLOOKUP(B87, SAN.MC!$A$1:$G$256, 6, 0)</f>
        <v>3.9125000000000001</v>
      </c>
      <c r="D87" s="15">
        <f>VLOOKUP(B87, TEF.MC!$A$1:$G$256, 6, 0)</f>
        <v>3.694</v>
      </c>
      <c r="E87">
        <f>VLOOKUP(B87, ACS.MC!$A$1:$G$256, 6, 0)</f>
        <v>38.786330999999997</v>
      </c>
      <c r="F87">
        <f>VLOOKUP(B87, IBE.MC!$A$1:$G$256, 6, 0)</f>
        <v>11.832326</v>
      </c>
      <c r="G87">
        <f>VLOOKUP(B87, IAG.MC!$A$1:$G$256, 6, 0)</f>
        <v>1.7675000000000001</v>
      </c>
      <c r="H87">
        <f>VLOOKUP(B87, IBEX35!$A$1:$G$256, 6, 0)</f>
        <v>10164.5</v>
      </c>
      <c r="J87" s="13">
        <f t="shared" si="11"/>
        <v>8.3414022310895012E-3</v>
      </c>
      <c r="K87" s="13">
        <f t="shared" si="12"/>
        <v>-1.0822511878849288E-3</v>
      </c>
      <c r="L87" s="13">
        <f t="shared" si="13"/>
        <v>-6.0271771927476025E-3</v>
      </c>
      <c r="M87" s="13">
        <f t="shared" si="14"/>
        <v>4.1547377054129209E-4</v>
      </c>
      <c r="N87" s="13">
        <f t="shared" si="15"/>
        <v>-4.5159546124148202E-3</v>
      </c>
      <c r="O87" s="13">
        <f t="shared" si="16"/>
        <v>-1.7595206418848997E-3</v>
      </c>
    </row>
    <row r="88" spans="2:15" x14ac:dyDescent="0.2">
      <c r="B88" s="1">
        <v>45295</v>
      </c>
      <c r="C88" s="15">
        <f>VLOOKUP(B88, SAN.MC!$A$1:$G$256, 6, 0)</f>
        <v>3.88</v>
      </c>
      <c r="D88" s="15">
        <f>VLOOKUP(B88, TEF.MC!$A$1:$G$256, 6, 0)</f>
        <v>3.698</v>
      </c>
      <c r="E88">
        <f>VLOOKUP(B88, ACS.MC!$A$1:$G$256, 6, 0)</f>
        <v>39.020809</v>
      </c>
      <c r="F88">
        <f>VLOOKUP(B88, IBE.MC!$A$1:$G$256, 6, 0)</f>
        <v>11.827411</v>
      </c>
      <c r="G88">
        <f>VLOOKUP(B88, IAG.MC!$A$1:$G$256, 6, 0)</f>
        <v>1.7755000000000001</v>
      </c>
      <c r="H88">
        <f>VLOOKUP(B88, IBEX35!$A$1:$G$256, 6, 0)</f>
        <v>10182.400390999999</v>
      </c>
      <c r="J88" s="13">
        <f t="shared" si="11"/>
        <v>2.0965674507479465E-2</v>
      </c>
      <c r="K88" s="13">
        <f t="shared" si="12"/>
        <v>1.5533763771636712E-2</v>
      </c>
      <c r="L88" s="13">
        <f t="shared" si="13"/>
        <v>1.3358751769604008E-2</v>
      </c>
      <c r="M88" s="13">
        <f t="shared" si="14"/>
        <v>1.6342275125863767E-2</v>
      </c>
      <c r="N88" s="13">
        <f t="shared" si="15"/>
        <v>1.904819497069463E-2</v>
      </c>
      <c r="O88" s="13">
        <f t="shared" si="16"/>
        <v>1.2749853479158994E-2</v>
      </c>
    </row>
    <row r="89" spans="2:15" x14ac:dyDescent="0.2">
      <c r="B89" s="1">
        <v>45294</v>
      </c>
      <c r="C89" s="15">
        <f>VLOOKUP(B89, SAN.MC!$A$1:$G$256, 6, 0)</f>
        <v>3.7995000000000001</v>
      </c>
      <c r="D89" s="15">
        <f>VLOOKUP(B89, TEF.MC!$A$1:$G$256, 6, 0)</f>
        <v>3.641</v>
      </c>
      <c r="E89">
        <f>VLOOKUP(B89, ACS.MC!$A$1:$G$256, 6, 0)</f>
        <v>38.503005999999999</v>
      </c>
      <c r="F89">
        <f>VLOOKUP(B89, IBE.MC!$A$1:$G$256, 6, 0)</f>
        <v>11.635695</v>
      </c>
      <c r="G89">
        <f>VLOOKUP(B89, IAG.MC!$A$1:$G$256, 6, 0)</f>
        <v>1.742</v>
      </c>
      <c r="H89">
        <f>VLOOKUP(B89, IBEX35!$A$1:$G$256, 6, 0)</f>
        <v>10053.400390999999</v>
      </c>
      <c r="J89" s="13">
        <f t="shared" si="11"/>
        <v>-1.4112347108208356E-2</v>
      </c>
      <c r="K89" s="13">
        <f t="shared" si="12"/>
        <v>3.5768369404060884E-3</v>
      </c>
      <c r="L89" s="13">
        <f t="shared" si="13"/>
        <v>-2.3571764251742008E-2</v>
      </c>
      <c r="M89" s="13">
        <f t="shared" si="14"/>
        <v>-3.3740737357429674E-3</v>
      </c>
      <c r="N89" s="13">
        <f t="shared" si="15"/>
        <v>-2.8019379332560428E-2</v>
      </c>
      <c r="O89" s="13">
        <f t="shared" si="16"/>
        <v>-1.2720313642676909E-2</v>
      </c>
    </row>
    <row r="90" spans="2:15" x14ac:dyDescent="0.2">
      <c r="B90" s="1">
        <v>45293</v>
      </c>
      <c r="C90" s="15">
        <f>VLOOKUP(B90, SAN.MC!$A$1:$G$256, 6, 0)</f>
        <v>3.8534999999999999</v>
      </c>
      <c r="D90" s="15">
        <f>VLOOKUP(B90, TEF.MC!$A$1:$G$256, 6, 0)</f>
        <v>3.6280000000000001</v>
      </c>
      <c r="E90">
        <f>VLOOKUP(B90, ACS.MC!$A$1:$G$256, 6, 0)</f>
        <v>39.421371000000001</v>
      </c>
      <c r="F90">
        <f>VLOOKUP(B90, IBE.MC!$A$1:$G$256, 6, 0)</f>
        <v>11.675020999999999</v>
      </c>
      <c r="G90">
        <f>VLOOKUP(B90, IAG.MC!$A$1:$G$256, 6, 0)</f>
        <v>1.7915000000000001</v>
      </c>
      <c r="H90">
        <f>VLOOKUP(B90, IBEX35!$A$1:$G$256, 6, 0)</f>
        <v>10182.099609000001</v>
      </c>
      <c r="J90" s="13">
        <f t="shared" si="11"/>
        <v>1.9390100485816505E-2</v>
      </c>
      <c r="K90" s="13">
        <f t="shared" si="12"/>
        <v>2.6251158355385652E-2</v>
      </c>
      <c r="L90" s="13">
        <f t="shared" si="13"/>
        <v>4.7199123590990974E-3</v>
      </c>
      <c r="M90" s="13">
        <f t="shared" si="14"/>
        <v>4.21158581252858E-4</v>
      </c>
      <c r="N90" s="13">
        <f t="shared" si="15"/>
        <v>5.8782534553469077E-3</v>
      </c>
      <c r="O90" s="13">
        <f t="shared" si="16"/>
        <v>7.8879539624480671E-3</v>
      </c>
    </row>
    <row r="91" spans="2:15" x14ac:dyDescent="0.2">
      <c r="B91" s="1">
        <v>45289</v>
      </c>
      <c r="C91" s="15">
        <f>VLOOKUP(B91, SAN.MC!$A$1:$G$256, 6, 0)</f>
        <v>3.7795000000000001</v>
      </c>
      <c r="D91" s="15">
        <f>VLOOKUP(B91, TEF.MC!$A$1:$G$256, 6, 0)</f>
        <v>3.5339999999999998</v>
      </c>
      <c r="E91">
        <f>VLOOKUP(B91, ACS.MC!$A$1:$G$256, 6, 0)</f>
        <v>39.235743999999997</v>
      </c>
      <c r="F91">
        <f>VLOOKUP(B91, IBE.MC!$A$1:$G$256, 6, 0)</f>
        <v>11.670105</v>
      </c>
      <c r="G91">
        <f>VLOOKUP(B91, IAG.MC!$A$1:$G$256, 6, 0)</f>
        <v>1.7809999999999999</v>
      </c>
      <c r="H91">
        <f>VLOOKUP(B91, IBEX35!$A$1:$G$256, 6, 0)</f>
        <v>10102.099609000001</v>
      </c>
      <c r="J91" s="13">
        <f t="shared" si="11"/>
        <v>-2.1144450853932263E-3</v>
      </c>
      <c r="K91" s="13">
        <f t="shared" si="12"/>
        <v>-1.6963532481785132E-3</v>
      </c>
      <c r="L91" s="13">
        <f t="shared" si="13"/>
        <v>1.245839420537032E-3</v>
      </c>
      <c r="M91" s="13">
        <f t="shared" si="14"/>
        <v>3.798258410130997E-3</v>
      </c>
      <c r="N91" s="13">
        <f t="shared" si="15"/>
        <v>-1.1167061886294417E-2</v>
      </c>
      <c r="O91" s="13">
        <f t="shared" si="16"/>
        <v>1.5751120640705306E-3</v>
      </c>
    </row>
    <row r="92" spans="2:15" x14ac:dyDescent="0.2">
      <c r="B92" s="1">
        <v>45288</v>
      </c>
      <c r="C92" s="15">
        <f>VLOOKUP(B92, SAN.MC!$A$1:$G$256, 6, 0)</f>
        <v>3.7875000000000001</v>
      </c>
      <c r="D92" s="15">
        <f>VLOOKUP(B92, TEF.MC!$A$1:$G$256, 6, 0)</f>
        <v>3.54</v>
      </c>
      <c r="E92">
        <f>VLOOKUP(B92, ACS.MC!$A$1:$G$256, 6, 0)</f>
        <v>39.186892999999998</v>
      </c>
      <c r="F92">
        <f>VLOOKUP(B92, IBE.MC!$A$1:$G$256, 6, 0)</f>
        <v>11.625863000000001</v>
      </c>
      <c r="G92">
        <f>VLOOKUP(B92, IAG.MC!$A$1:$G$256, 6, 0)</f>
        <v>1.8009999999999999</v>
      </c>
      <c r="H92">
        <f>VLOOKUP(B92, IBEX35!$A$1:$G$256, 6, 0)</f>
        <v>10086.200194999999</v>
      </c>
      <c r="J92" s="13">
        <f t="shared" si="11"/>
        <v>-5.9230183031220556E-3</v>
      </c>
      <c r="K92" s="13">
        <f t="shared" si="12"/>
        <v>-8.7189414666283636E-3</v>
      </c>
      <c r="L92" s="13">
        <f t="shared" si="13"/>
        <v>-1.2458394205369871E-3</v>
      </c>
      <c r="M92" s="13">
        <f t="shared" si="14"/>
        <v>-8.4534325564085161E-4</v>
      </c>
      <c r="N92" s="13">
        <f t="shared" si="15"/>
        <v>-7.4678814771689849E-3</v>
      </c>
      <c r="O92" s="13">
        <f t="shared" si="16"/>
        <v>-3.5233221325409346E-3</v>
      </c>
    </row>
    <row r="93" spans="2:15" x14ac:dyDescent="0.2">
      <c r="B93" s="1">
        <v>45287</v>
      </c>
      <c r="C93" s="15">
        <f>VLOOKUP(B93, SAN.MC!$A$1:$G$256, 6, 0)</f>
        <v>3.81</v>
      </c>
      <c r="D93" s="15">
        <f>VLOOKUP(B93, TEF.MC!$A$1:$G$256, 6, 0)</f>
        <v>3.5710000000000002</v>
      </c>
      <c r="E93">
        <f>VLOOKUP(B93, ACS.MC!$A$1:$G$256, 6, 0)</f>
        <v>39.235743999999997</v>
      </c>
      <c r="F93">
        <f>VLOOKUP(B93, IBE.MC!$A$1:$G$256, 6, 0)</f>
        <v>11.635695</v>
      </c>
      <c r="G93">
        <f>VLOOKUP(B93, IAG.MC!$A$1:$G$256, 6, 0)</f>
        <v>1.8145</v>
      </c>
      <c r="H93">
        <f>VLOOKUP(B93, IBEX35!$A$1:$G$256, 6, 0)</f>
        <v>10121.799805000001</v>
      </c>
      <c r="J93" s="13">
        <f t="shared" si="11"/>
        <v>5.2507220949071418E-4</v>
      </c>
      <c r="K93" s="13">
        <f t="shared" si="12"/>
        <v>-3.6338265003725977E-3</v>
      </c>
      <c r="L93" s="13">
        <f t="shared" si="13"/>
        <v>7.2472924090737755E-3</v>
      </c>
      <c r="M93" s="13">
        <f t="shared" si="14"/>
        <v>-2.1101512558090868E-3</v>
      </c>
      <c r="N93" s="13">
        <f t="shared" si="15"/>
        <v>-2.7517903990894621E-3</v>
      </c>
      <c r="O93" s="13">
        <f t="shared" si="16"/>
        <v>9.7850760799841311E-4</v>
      </c>
    </row>
    <row r="94" spans="2:15" x14ac:dyDescent="0.2">
      <c r="B94" s="1">
        <v>45282</v>
      </c>
      <c r="C94" s="15">
        <f>VLOOKUP(B94, SAN.MC!$A$1:$G$256, 6, 0)</f>
        <v>3.8079999999999998</v>
      </c>
      <c r="D94" s="15">
        <f>VLOOKUP(B94, TEF.MC!$A$1:$G$256, 6, 0)</f>
        <v>3.5840000000000001</v>
      </c>
      <c r="E94">
        <f>VLOOKUP(B94, ACS.MC!$A$1:$G$256, 6, 0)</f>
        <v>38.952418999999999</v>
      </c>
      <c r="F94">
        <f>VLOOKUP(B94, IBE.MC!$A$1:$G$256, 6, 0)</f>
        <v>11.660273999999999</v>
      </c>
      <c r="G94">
        <f>VLOOKUP(B94, IAG.MC!$A$1:$G$256, 6, 0)</f>
        <v>1.8194999999999999</v>
      </c>
      <c r="H94">
        <f>VLOOKUP(B94, IBEX35!$A$1:$G$256, 6, 0)</f>
        <v>10111.900390999999</v>
      </c>
      <c r="J94" s="13">
        <f t="shared" si="11"/>
        <v>3.9468542223568574E-3</v>
      </c>
      <c r="K94" s="13">
        <f t="shared" si="12"/>
        <v>-1.0822916800256212E-2</v>
      </c>
      <c r="L94" s="13">
        <f t="shared" si="13"/>
        <v>2.5112875590824744E-3</v>
      </c>
      <c r="M94" s="13">
        <f t="shared" si="14"/>
        <v>6.3439454533854075E-3</v>
      </c>
      <c r="N94" s="13">
        <f t="shared" si="15"/>
        <v>-7.6649704591661462E-3</v>
      </c>
      <c r="O94" s="13">
        <f t="shared" si="16"/>
        <v>7.5193026230685532E-4</v>
      </c>
    </row>
    <row r="95" spans="2:15" x14ac:dyDescent="0.2">
      <c r="B95" s="1">
        <v>45281</v>
      </c>
      <c r="C95" s="15">
        <f>VLOOKUP(B95, SAN.MC!$A$1:$G$256, 6, 0)</f>
        <v>3.7930000000000001</v>
      </c>
      <c r="D95" s="15">
        <f>VLOOKUP(B95, TEF.MC!$A$1:$G$256, 6, 0)</f>
        <v>3.6230000000000002</v>
      </c>
      <c r="E95">
        <f>VLOOKUP(B95, ACS.MC!$A$1:$G$256, 6, 0)</f>
        <v>38.854720999999998</v>
      </c>
      <c r="F95">
        <f>VLOOKUP(B95, IBE.MC!$A$1:$G$256, 6, 0)</f>
        <v>11.586536000000001</v>
      </c>
      <c r="G95">
        <f>VLOOKUP(B95, IAG.MC!$A$1:$G$256, 6, 0)</f>
        <v>1.8334999999999999</v>
      </c>
      <c r="H95">
        <f>VLOOKUP(B95, IBEX35!$A$1:$G$256, 6, 0)</f>
        <v>10104.299805000001</v>
      </c>
      <c r="J95" s="13">
        <f t="shared" si="11"/>
        <v>1.0551306702981157E-3</v>
      </c>
      <c r="K95" s="13">
        <f t="shared" si="12"/>
        <v>-1.5338564209696997E-2</v>
      </c>
      <c r="L95" s="13">
        <f t="shared" si="13"/>
        <v>7.318622594120072E-3</v>
      </c>
      <c r="M95" s="13">
        <f t="shared" si="14"/>
        <v>2.1235082710582991E-3</v>
      </c>
      <c r="N95" s="13">
        <f t="shared" si="15"/>
        <v>-7.877264690248912E-3</v>
      </c>
      <c r="O95" s="13">
        <f t="shared" si="16"/>
        <v>3.2662767305447306E-4</v>
      </c>
    </row>
    <row r="96" spans="2:15" x14ac:dyDescent="0.2">
      <c r="B96" s="1">
        <v>45280</v>
      </c>
      <c r="C96" s="15">
        <f>VLOOKUP(B96, SAN.MC!$A$1:$G$256, 6, 0)</f>
        <v>3.7890000000000001</v>
      </c>
      <c r="D96" s="15">
        <f>VLOOKUP(B96, TEF.MC!$A$1:$G$256, 6, 0)</f>
        <v>3.6789999999999998</v>
      </c>
      <c r="E96">
        <f>VLOOKUP(B96, ACS.MC!$A$1:$G$256, 6, 0)</f>
        <v>38.571396</v>
      </c>
      <c r="F96">
        <f>VLOOKUP(B96, IBE.MC!$A$1:$G$256, 6, 0)</f>
        <v>11.561958000000001</v>
      </c>
      <c r="G96">
        <f>VLOOKUP(B96, IAG.MC!$A$1:$G$256, 6, 0)</f>
        <v>1.8480000000000001</v>
      </c>
      <c r="H96">
        <f>VLOOKUP(B96, IBEX35!$A$1:$G$256, 6, 0)</f>
        <v>10101</v>
      </c>
      <c r="J96" s="13">
        <f t="shared" si="11"/>
        <v>-9.2330020408651987E-4</v>
      </c>
      <c r="K96" s="13">
        <f t="shared" si="12"/>
        <v>3.1476922256378013E-2</v>
      </c>
      <c r="L96" s="13">
        <f t="shared" si="13"/>
        <v>3.2982880091249121E-3</v>
      </c>
      <c r="M96" s="13">
        <f t="shared" si="14"/>
        <v>-5.5119592129937158E-3</v>
      </c>
      <c r="N96" s="13">
        <f t="shared" si="15"/>
        <v>5.4259492859972053E-3</v>
      </c>
      <c r="O96" s="13">
        <f t="shared" si="16"/>
        <v>-5.6416070074084444E-4</v>
      </c>
    </row>
    <row r="97" spans="2:15" x14ac:dyDescent="0.2">
      <c r="B97" s="1">
        <v>45279</v>
      </c>
      <c r="C97" s="15">
        <f>VLOOKUP(B97, SAN.MC!$A$1:$G$256, 6, 0)</f>
        <v>3.7925</v>
      </c>
      <c r="D97" s="15">
        <f>VLOOKUP(B97, TEF.MC!$A$1:$G$256, 6, 0)</f>
        <v>3.5649999999999999</v>
      </c>
      <c r="E97">
        <f>VLOOKUP(B97, ACS.MC!$A$1:$G$256, 6, 0)</f>
        <v>38.444386000000002</v>
      </c>
      <c r="F97">
        <f>VLOOKUP(B97, IBE.MC!$A$1:$G$256, 6, 0)</f>
        <v>11.625863000000001</v>
      </c>
      <c r="G97">
        <f>VLOOKUP(B97, IAG.MC!$A$1:$G$256, 6, 0)</f>
        <v>1.8380000000000001</v>
      </c>
      <c r="H97">
        <f>VLOOKUP(B97, IBEX35!$A$1:$G$256, 6, 0)</f>
        <v>10106.700194999999</v>
      </c>
      <c r="J97" s="13">
        <f t="shared" si="11"/>
        <v>1.1872569167184013E-3</v>
      </c>
      <c r="K97" s="13">
        <f t="shared" si="12"/>
        <v>-7.5450965736939997E-3</v>
      </c>
      <c r="L97" s="13">
        <f t="shared" si="13"/>
        <v>1.2715006977039348E-3</v>
      </c>
      <c r="M97" s="13">
        <f t="shared" si="14"/>
        <v>1.1054555560633738E-2</v>
      </c>
      <c r="N97" s="13">
        <f t="shared" si="15"/>
        <v>9.2922231880243934E-3</v>
      </c>
      <c r="O97" s="13">
        <f t="shared" si="16"/>
        <v>5.1384727869606883E-3</v>
      </c>
    </row>
    <row r="98" spans="2:15" x14ac:dyDescent="0.2">
      <c r="B98" s="1">
        <v>45278</v>
      </c>
      <c r="C98" s="15">
        <f>VLOOKUP(B98, SAN.MC!$A$1:$G$256, 6, 0)</f>
        <v>3.7879999999999998</v>
      </c>
      <c r="D98" s="15">
        <f>VLOOKUP(B98, TEF.MC!$A$1:$G$256, 6, 0)</f>
        <v>3.5920000000000001</v>
      </c>
      <c r="E98">
        <f>VLOOKUP(B98, ACS.MC!$A$1:$G$256, 6, 0)</f>
        <v>38.395535000000002</v>
      </c>
      <c r="F98">
        <f>VLOOKUP(B98, IBE.MC!$A$1:$G$256, 6, 0)</f>
        <v>11.498051999999999</v>
      </c>
      <c r="G98">
        <f>VLOOKUP(B98, IAG.MC!$A$1:$G$256, 6, 0)</f>
        <v>1.821</v>
      </c>
      <c r="H98">
        <f>VLOOKUP(B98, IBEX35!$A$1:$G$256, 6, 0)</f>
        <v>10054.900390999999</v>
      </c>
      <c r="J98" s="13">
        <f t="shared" si="11"/>
        <v>-3.0313038038707798E-3</v>
      </c>
      <c r="K98" s="13">
        <f t="shared" si="12"/>
        <v>-9.1451378666849298E-3</v>
      </c>
      <c r="L98" s="13">
        <f t="shared" si="13"/>
        <v>-1.2139829188497009E-2</v>
      </c>
      <c r="M98" s="13">
        <f t="shared" si="14"/>
        <v>-5.5425963476399684E-3</v>
      </c>
      <c r="N98" s="13">
        <f t="shared" si="15"/>
        <v>-1.8229317202037607E-2</v>
      </c>
      <c r="O98" s="13">
        <f t="shared" si="16"/>
        <v>-4.0395298720594473E-3</v>
      </c>
    </row>
    <row r="99" spans="2:15" x14ac:dyDescent="0.2">
      <c r="B99" s="1">
        <v>45275</v>
      </c>
      <c r="C99" s="15">
        <f>VLOOKUP(B99, SAN.MC!$A$1:$G$256, 6, 0)</f>
        <v>3.7995000000000001</v>
      </c>
      <c r="D99" s="15">
        <f>VLOOKUP(B99, TEF.MC!$A$1:$G$256, 6, 0)</f>
        <v>3.625</v>
      </c>
      <c r="E99">
        <f>VLOOKUP(B99, ACS.MC!$A$1:$G$256, 6, 0)</f>
        <v>38.864491000000001</v>
      </c>
      <c r="F99">
        <f>VLOOKUP(B99, IBE.MC!$A$1:$G$256, 6, 0)</f>
        <v>11.561958000000001</v>
      </c>
      <c r="G99">
        <f>VLOOKUP(B99, IAG.MC!$A$1:$G$256, 6, 0)</f>
        <v>1.8545</v>
      </c>
      <c r="H99">
        <f>VLOOKUP(B99, IBEX35!$A$1:$G$256, 6, 0)</f>
        <v>10095.599609000001</v>
      </c>
      <c r="J99" s="13">
        <f t="shared" si="11"/>
        <v>-2.1996071301375892E-2</v>
      </c>
      <c r="K99" s="13">
        <f t="shared" si="12"/>
        <v>-1.5601794504248027E-2</v>
      </c>
      <c r="L99" s="13">
        <f t="shared" si="13"/>
        <v>5.0403296499266772E-3</v>
      </c>
      <c r="M99" s="13">
        <f t="shared" si="14"/>
        <v>-5.5119592129937158E-3</v>
      </c>
      <c r="N99" s="13">
        <f t="shared" si="15"/>
        <v>-1.0778766874892315E-3</v>
      </c>
      <c r="O99" s="13">
        <f t="shared" si="16"/>
        <v>-7.5097269377760898E-3</v>
      </c>
    </row>
    <row r="100" spans="2:15" x14ac:dyDescent="0.2">
      <c r="B100" s="1">
        <v>45274</v>
      </c>
      <c r="C100" s="15">
        <f>VLOOKUP(B100, SAN.MC!$A$1:$G$256, 6, 0)</f>
        <v>3.8839999999999999</v>
      </c>
      <c r="D100" s="15">
        <f>VLOOKUP(B100, TEF.MC!$A$1:$G$256, 6, 0)</f>
        <v>3.6819999999999999</v>
      </c>
      <c r="E100">
        <f>VLOOKUP(B100, ACS.MC!$A$1:$G$256, 6, 0)</f>
        <v>38.669094000000001</v>
      </c>
      <c r="F100">
        <f>VLOOKUP(B100, IBE.MC!$A$1:$G$256, 6, 0)</f>
        <v>11.625863000000001</v>
      </c>
      <c r="G100">
        <f>VLOOKUP(B100, IAG.MC!$A$1:$G$256, 6, 0)</f>
        <v>1.8565</v>
      </c>
      <c r="H100">
        <f>VLOOKUP(B100, IBEX35!$A$1:$G$256, 6, 0)</f>
        <v>10171.700194999999</v>
      </c>
      <c r="J100" s="13">
        <f t="shared" si="11"/>
        <v>1.1914152843570251E-2</v>
      </c>
      <c r="K100" s="13">
        <f t="shared" si="12"/>
        <v>2.9919782961888206E-3</v>
      </c>
      <c r="L100" s="13">
        <f t="shared" si="13"/>
        <v>1.2969064983499357E-2</v>
      </c>
      <c r="M100" s="13">
        <f t="shared" si="14"/>
        <v>6.3626959839595222E-3</v>
      </c>
      <c r="N100" s="13">
        <f t="shared" si="15"/>
        <v>2.5089944411438875E-2</v>
      </c>
      <c r="O100" s="13">
        <f t="shared" si="16"/>
        <v>7.4602016358483588E-3</v>
      </c>
    </row>
    <row r="101" spans="2:15" x14ac:dyDescent="0.2">
      <c r="B101" s="1">
        <v>45273</v>
      </c>
      <c r="C101" s="15">
        <f>VLOOKUP(B101, SAN.MC!$A$1:$G$256, 6, 0)</f>
        <v>3.8380000000000001</v>
      </c>
      <c r="D101" s="15">
        <f>VLOOKUP(B101, TEF.MC!$A$1:$G$256, 6, 0)</f>
        <v>3.6709999999999998</v>
      </c>
      <c r="E101">
        <f>VLOOKUP(B101, ACS.MC!$A$1:$G$256, 6, 0)</f>
        <v>38.170830000000002</v>
      </c>
      <c r="F101">
        <f>VLOOKUP(B101, IBE.MC!$A$1:$G$256, 6, 0)</f>
        <v>11.552125999999999</v>
      </c>
      <c r="G101">
        <f>VLOOKUP(B101, IAG.MC!$A$1:$G$256, 6, 0)</f>
        <v>1.8105</v>
      </c>
      <c r="H101">
        <f>VLOOKUP(B101, IBEX35!$A$1:$G$256, 6, 0)</f>
        <v>10096.099609000001</v>
      </c>
      <c r="J101" s="13">
        <f t="shared" si="11"/>
        <v>-9.7232891539208964E-3</v>
      </c>
      <c r="K101" s="13">
        <f t="shared" si="12"/>
        <v>-3.4536962217642825E-2</v>
      </c>
      <c r="L101" s="13">
        <f t="shared" si="13"/>
        <v>2.8295112679573485E-2</v>
      </c>
      <c r="M101" s="13">
        <f t="shared" si="14"/>
        <v>4.6918595766742297E-3</v>
      </c>
      <c r="N101" s="13">
        <f t="shared" si="15"/>
        <v>-2.0500922995933656E-2</v>
      </c>
      <c r="O101" s="13">
        <f t="shared" si="16"/>
        <v>-2.2360444462318036E-3</v>
      </c>
    </row>
    <row r="102" spans="2:15" x14ac:dyDescent="0.2">
      <c r="B102" s="1">
        <v>45272</v>
      </c>
      <c r="C102" s="15">
        <f>VLOOKUP(B102, SAN.MC!$A$1:$G$256, 6, 0)</f>
        <v>3.8755000000000002</v>
      </c>
      <c r="D102" s="15">
        <f>VLOOKUP(B102, TEF.MC!$A$1:$G$256, 6, 0)</f>
        <v>3.8</v>
      </c>
      <c r="E102">
        <f>VLOOKUP(B102, ACS.MC!$A$1:$G$256, 6, 0)</f>
        <v>37.105919</v>
      </c>
      <c r="F102">
        <f>VLOOKUP(B102, IBE.MC!$A$1:$G$256, 6, 0)</f>
        <v>11.498051999999999</v>
      </c>
      <c r="G102">
        <f>VLOOKUP(B102, IAG.MC!$A$1:$G$256, 6, 0)</f>
        <v>1.8480000000000001</v>
      </c>
      <c r="H102">
        <f>VLOOKUP(B102, IBEX35!$A$1:$G$256, 6, 0)</f>
        <v>10118.700194999999</v>
      </c>
      <c r="J102" s="13">
        <f t="shared" si="11"/>
        <v>-1.67598114734375E-2</v>
      </c>
      <c r="K102" s="13">
        <f t="shared" si="12"/>
        <v>-1.7477945892819965E-2</v>
      </c>
      <c r="L102" s="13">
        <f t="shared" si="13"/>
        <v>1.3786046814580752E-2</v>
      </c>
      <c r="M102" s="13">
        <f t="shared" si="14"/>
        <v>-4.6918595766741967E-3</v>
      </c>
      <c r="N102" s="13">
        <f t="shared" si="15"/>
        <v>1.5267472130788381E-2</v>
      </c>
      <c r="O102" s="13">
        <f t="shared" si="16"/>
        <v>-7.8064062519177246E-3</v>
      </c>
    </row>
    <row r="103" spans="2:15" x14ac:dyDescent="0.2">
      <c r="B103" s="1">
        <v>45271</v>
      </c>
      <c r="C103" s="15">
        <f>VLOOKUP(B103, SAN.MC!$A$1:$G$256, 6, 0)</f>
        <v>3.9409999999999998</v>
      </c>
      <c r="D103" s="15">
        <f>VLOOKUP(B103, TEF.MC!$A$1:$G$256, 6, 0)</f>
        <v>3.867</v>
      </c>
      <c r="E103">
        <f>VLOOKUP(B103, ACS.MC!$A$1:$G$256, 6, 0)</f>
        <v>36.597884999999998</v>
      </c>
      <c r="F103">
        <f>VLOOKUP(B103, IBE.MC!$A$1:$G$256, 6, 0)</f>
        <v>11.552125999999999</v>
      </c>
      <c r="G103">
        <f>VLOOKUP(B103, IAG.MC!$A$1:$G$256, 6, 0)</f>
        <v>1.82</v>
      </c>
      <c r="H103">
        <f>VLOOKUP(B103, IBEX35!$A$1:$G$256, 6, 0)</f>
        <v>10198</v>
      </c>
      <c r="J103" s="13">
        <f t="shared" si="11"/>
        <v>2.537749030241488E-4</v>
      </c>
      <c r="K103" s="13">
        <f t="shared" si="12"/>
        <v>3.4912178070870634E-3</v>
      </c>
      <c r="L103" s="13">
        <f t="shared" si="13"/>
        <v>2.6707294998204413E-4</v>
      </c>
      <c r="M103" s="13">
        <f t="shared" si="14"/>
        <v>-3.8224563437211185E-3</v>
      </c>
      <c r="N103" s="13">
        <f t="shared" si="15"/>
        <v>-1.5808451316283771E-2</v>
      </c>
      <c r="O103" s="13">
        <f t="shared" si="16"/>
        <v>-2.4876260797400793E-3</v>
      </c>
    </row>
    <row r="104" spans="2:15" x14ac:dyDescent="0.2">
      <c r="B104" s="1">
        <v>45268</v>
      </c>
      <c r="C104" s="15">
        <f>VLOOKUP(B104, SAN.MC!$A$1:$G$256, 6, 0)</f>
        <v>3.94</v>
      </c>
      <c r="D104" s="15">
        <f>VLOOKUP(B104, TEF.MC!$A$1:$G$256, 6, 0)</f>
        <v>3.853523</v>
      </c>
      <c r="E104">
        <f>VLOOKUP(B104, ACS.MC!$A$1:$G$256, 6, 0)</f>
        <v>36.588112000000002</v>
      </c>
      <c r="F104">
        <f>VLOOKUP(B104, IBE.MC!$A$1:$G$256, 6, 0)</f>
        <v>11.596368</v>
      </c>
      <c r="G104">
        <f>VLOOKUP(B104, IAG.MC!$A$1:$G$256, 6, 0)</f>
        <v>1.849</v>
      </c>
      <c r="H104">
        <f>VLOOKUP(B104, IBEX35!$A$1:$G$256, 6, 0)</f>
        <v>10223.400390999999</v>
      </c>
      <c r="J104" s="13">
        <f t="shared" si="11"/>
        <v>1.9089683531449998E-2</v>
      </c>
      <c r="K104" s="13">
        <f t="shared" si="12"/>
        <v>-4.7350779754491814E-3</v>
      </c>
      <c r="L104" s="13">
        <f t="shared" si="13"/>
        <v>1.0468478132202926E-2</v>
      </c>
      <c r="M104" s="13">
        <f t="shared" si="14"/>
        <v>4.673830846145261E-3</v>
      </c>
      <c r="N104" s="13">
        <f t="shared" si="15"/>
        <v>2.9790137129256564E-3</v>
      </c>
      <c r="O104" s="13">
        <f t="shared" si="16"/>
        <v>7.5997095682059212E-3</v>
      </c>
    </row>
    <row r="105" spans="2:15" x14ac:dyDescent="0.2">
      <c r="B105" s="1">
        <v>45267</v>
      </c>
      <c r="C105" s="15">
        <f>VLOOKUP(B105, SAN.MC!$A$1:$G$256, 6, 0)</f>
        <v>3.8654999999999999</v>
      </c>
      <c r="D105" s="15">
        <f>VLOOKUP(B105, TEF.MC!$A$1:$G$256, 6, 0)</f>
        <v>3.8718129999999999</v>
      </c>
      <c r="E105">
        <f>VLOOKUP(B105, ACS.MC!$A$1:$G$256, 6, 0)</f>
        <v>36.207087999999999</v>
      </c>
      <c r="F105">
        <f>VLOOKUP(B105, IBE.MC!$A$1:$G$256, 6, 0)</f>
        <v>11.542294999999999</v>
      </c>
      <c r="G105">
        <f>VLOOKUP(B105, IAG.MC!$A$1:$G$256, 6, 0)</f>
        <v>1.8434999999999999</v>
      </c>
      <c r="H105">
        <f>VLOOKUP(B105, IBEX35!$A$1:$G$256, 6, 0)</f>
        <v>10146</v>
      </c>
      <c r="J105" s="13">
        <f t="shared" si="11"/>
        <v>-2.3268756288718672E-2</v>
      </c>
      <c r="K105" s="13">
        <f t="shared" si="12"/>
        <v>-5.9494969311531809E-3</v>
      </c>
      <c r="L105" s="13">
        <f t="shared" si="13"/>
        <v>-2.6991071487642162E-4</v>
      </c>
      <c r="M105" s="13">
        <f t="shared" si="14"/>
        <v>6.8377401774377157E-3</v>
      </c>
      <c r="N105" s="13">
        <f t="shared" si="15"/>
        <v>-2.252709902421262E-2</v>
      </c>
      <c r="O105" s="13">
        <f t="shared" si="16"/>
        <v>-1.0988060147825466E-2</v>
      </c>
    </row>
    <row r="106" spans="2:15" x14ac:dyDescent="0.2">
      <c r="B106" s="1">
        <v>45266</v>
      </c>
      <c r="C106" s="15">
        <f>VLOOKUP(B106, SAN.MC!$A$1:$G$256, 6, 0)</f>
        <v>3.9565000000000001</v>
      </c>
      <c r="D106" s="15">
        <f>VLOOKUP(B106, TEF.MC!$A$1:$G$256, 6, 0)</f>
        <v>3.894917</v>
      </c>
      <c r="E106">
        <f>VLOOKUP(B106, ACS.MC!$A$1:$G$256, 6, 0)</f>
        <v>36.216861999999999</v>
      </c>
      <c r="F106">
        <f>VLOOKUP(B106, IBE.MC!$A$1:$G$256, 6, 0)</f>
        <v>11.463641000000001</v>
      </c>
      <c r="G106">
        <f>VLOOKUP(B106, IAG.MC!$A$1:$G$256, 6, 0)</f>
        <v>1.8855</v>
      </c>
      <c r="H106">
        <f>VLOOKUP(B106, IBEX35!$A$1:$G$256, 6, 0)</f>
        <v>10258.099609000001</v>
      </c>
      <c r="J106" s="13">
        <f t="shared" si="11"/>
        <v>9.2681422647398377E-3</v>
      </c>
      <c r="K106" s="13">
        <f t="shared" si="12"/>
        <v>3.2180778981979246E-3</v>
      </c>
      <c r="L106" s="13">
        <f t="shared" si="13"/>
        <v>-2.6939512942653074E-3</v>
      </c>
      <c r="M106" s="13">
        <f t="shared" si="14"/>
        <v>7.3165311729895214E-3</v>
      </c>
      <c r="N106" s="13">
        <f t="shared" si="15"/>
        <v>3.5081849082923576E-2</v>
      </c>
      <c r="O106" s="13">
        <f t="shared" si="16"/>
        <v>1.922203699704974E-3</v>
      </c>
    </row>
    <row r="107" spans="2:15" x14ac:dyDescent="0.2">
      <c r="B107" s="1">
        <v>45265</v>
      </c>
      <c r="C107" s="15">
        <f>VLOOKUP(B107, SAN.MC!$A$1:$G$256, 6, 0)</f>
        <v>3.92</v>
      </c>
      <c r="D107" s="15">
        <f>VLOOKUP(B107, TEF.MC!$A$1:$G$256, 6, 0)</f>
        <v>3.882403</v>
      </c>
      <c r="E107">
        <f>VLOOKUP(B107, ACS.MC!$A$1:$G$256, 6, 0)</f>
        <v>36.31456</v>
      </c>
      <c r="F107">
        <f>VLOOKUP(B107, IBE.MC!$A$1:$G$256, 6, 0)</f>
        <v>11.380072999999999</v>
      </c>
      <c r="G107">
        <f>VLOOKUP(B107, IAG.MC!$A$1:$G$256, 6, 0)</f>
        <v>1.8205</v>
      </c>
      <c r="H107">
        <f>VLOOKUP(B107, IBEX35!$A$1:$G$256, 6, 0)</f>
        <v>10238.400390999999</v>
      </c>
      <c r="J107" s="13">
        <f t="shared" si="11"/>
        <v>1.853812099891106E-2</v>
      </c>
      <c r="K107" s="13">
        <f t="shared" si="12"/>
        <v>4.2243404705128882E-3</v>
      </c>
      <c r="L107" s="13">
        <f t="shared" si="13"/>
        <v>6.4777948601919691E-3</v>
      </c>
      <c r="M107" s="13">
        <f t="shared" si="14"/>
        <v>5.1970155326696646E-3</v>
      </c>
      <c r="N107" s="13">
        <f t="shared" si="15"/>
        <v>-1.1740749199764025E-2</v>
      </c>
      <c r="O107" s="13">
        <f t="shared" si="16"/>
        <v>5.8874116798064537E-3</v>
      </c>
    </row>
    <row r="108" spans="2:15" x14ac:dyDescent="0.2">
      <c r="B108" s="1">
        <v>45264</v>
      </c>
      <c r="C108" s="15">
        <f>VLOOKUP(B108, SAN.MC!$A$1:$G$256, 6, 0)</f>
        <v>3.8479999999999999</v>
      </c>
      <c r="D108" s="15">
        <f>VLOOKUP(B108, TEF.MC!$A$1:$G$256, 6, 0)</f>
        <v>3.8660369999999999</v>
      </c>
      <c r="E108">
        <f>VLOOKUP(B108, ACS.MC!$A$1:$G$256, 6, 0)</f>
        <v>36.080081999999997</v>
      </c>
      <c r="F108">
        <f>VLOOKUP(B108, IBE.MC!$A$1:$G$256, 6, 0)</f>
        <v>11.321084000000001</v>
      </c>
      <c r="G108">
        <f>VLOOKUP(B108, IAG.MC!$A$1:$G$256, 6, 0)</f>
        <v>1.8420000000000001</v>
      </c>
      <c r="H108">
        <f>VLOOKUP(B108, IBEX35!$A$1:$G$256, 6, 0)</f>
        <v>10178.299805000001</v>
      </c>
      <c r="J108" s="13">
        <f t="shared" si="11"/>
        <v>2.8627215386445404E-3</v>
      </c>
      <c r="K108" s="13">
        <f t="shared" si="12"/>
        <v>2.4929931507411724E-3</v>
      </c>
      <c r="L108" s="13">
        <f t="shared" si="13"/>
        <v>-3.2440873964972609E-3</v>
      </c>
      <c r="M108" s="13">
        <f t="shared" si="14"/>
        <v>7.8466522741290328E-3</v>
      </c>
      <c r="N108" s="13">
        <f t="shared" si="15"/>
        <v>8.1766604372455389E-3</v>
      </c>
      <c r="O108" s="13">
        <f t="shared" si="16"/>
        <v>3.691112627599971E-3</v>
      </c>
    </row>
    <row r="109" spans="2:15" x14ac:dyDescent="0.2">
      <c r="B109" s="1">
        <v>45261</v>
      </c>
      <c r="C109" s="15">
        <f>VLOOKUP(B109, SAN.MC!$A$1:$G$256, 6, 0)</f>
        <v>3.8370000000000002</v>
      </c>
      <c r="D109" s="15">
        <f>VLOOKUP(B109, TEF.MC!$A$1:$G$256, 6, 0)</f>
        <v>3.856411</v>
      </c>
      <c r="E109">
        <f>VLOOKUP(B109, ACS.MC!$A$1:$G$256, 6, 0)</f>
        <v>36.197319</v>
      </c>
      <c r="F109">
        <f>VLOOKUP(B109, IBE.MC!$A$1:$G$256, 6, 0)</f>
        <v>11.232599</v>
      </c>
      <c r="G109">
        <f>VLOOKUP(B109, IAG.MC!$A$1:$G$256, 6, 0)</f>
        <v>1.827</v>
      </c>
      <c r="H109">
        <f>VLOOKUP(B109, IBEX35!$A$1:$G$256, 6, 0)</f>
        <v>10140.799805000001</v>
      </c>
      <c r="J109" s="13">
        <f t="shared" si="11"/>
        <v>9.4266212577035508E-3</v>
      </c>
      <c r="K109" s="13">
        <f t="shared" si="12"/>
        <v>1.3065445339952301E-2</v>
      </c>
      <c r="L109" s="13">
        <f t="shared" si="13"/>
        <v>1.0854888019057153E-2</v>
      </c>
      <c r="M109" s="13">
        <f t="shared" si="14"/>
        <v>7.0267493360783497E-3</v>
      </c>
      <c r="N109" s="13">
        <f t="shared" si="15"/>
        <v>2.8311632825891352E-2</v>
      </c>
      <c r="O109" s="13">
        <f t="shared" si="16"/>
        <v>8.1786296770500373E-3</v>
      </c>
    </row>
    <row r="110" spans="2:15" x14ac:dyDescent="0.2">
      <c r="B110" s="1">
        <v>45260</v>
      </c>
      <c r="C110" s="15">
        <f>VLOOKUP(B110, SAN.MC!$A$1:$G$256, 6, 0)</f>
        <v>3.8010000000000002</v>
      </c>
      <c r="D110" s="15">
        <f>VLOOKUP(B110, TEF.MC!$A$1:$G$256, 6, 0)</f>
        <v>3.8063530000000001</v>
      </c>
      <c r="E110">
        <f>VLOOKUP(B110, ACS.MC!$A$1:$G$256, 6, 0)</f>
        <v>35.806525999999998</v>
      </c>
      <c r="F110">
        <f>VLOOKUP(B110, IBE.MC!$A$1:$G$256, 6, 0)</f>
        <v>11.153947000000001</v>
      </c>
      <c r="G110">
        <f>VLOOKUP(B110, IAG.MC!$A$1:$G$256, 6, 0)</f>
        <v>1.776</v>
      </c>
      <c r="H110">
        <f>VLOOKUP(B110, IBEX35!$A$1:$G$256, 6, 0)</f>
        <v>10058.200194999999</v>
      </c>
      <c r="J110" s="13">
        <f t="shared" si="11"/>
        <v>7.8957761701758207E-4</v>
      </c>
      <c r="K110" s="13">
        <f t="shared" si="12"/>
        <v>1.6832976401888175E-2</v>
      </c>
      <c r="L110" s="13">
        <f t="shared" si="13"/>
        <v>-2.9968572573708945E-3</v>
      </c>
      <c r="M110" s="13">
        <f t="shared" si="14"/>
        <v>3.5320674999271945E-3</v>
      </c>
      <c r="N110" s="13">
        <f t="shared" si="15"/>
        <v>-8.4423812528064727E-4</v>
      </c>
      <c r="O110" s="13">
        <f t="shared" si="16"/>
        <v>-4.3730011858029403E-4</v>
      </c>
    </row>
    <row r="111" spans="2:15" x14ac:dyDescent="0.2">
      <c r="B111" s="1">
        <v>45259</v>
      </c>
      <c r="C111" s="15">
        <f>VLOOKUP(B111, SAN.MC!$A$1:$G$256, 6, 0)</f>
        <v>3.798</v>
      </c>
      <c r="D111" s="15">
        <f>VLOOKUP(B111, TEF.MC!$A$1:$G$256, 6, 0)</f>
        <v>3.7428170000000001</v>
      </c>
      <c r="E111">
        <f>VLOOKUP(B111, ACS.MC!$A$1:$G$256, 6, 0)</f>
        <v>35.913994000000002</v>
      </c>
      <c r="F111">
        <f>VLOOKUP(B111, IBE.MC!$A$1:$G$256, 6, 0)</f>
        <v>11.11462</v>
      </c>
      <c r="G111">
        <f>VLOOKUP(B111, IAG.MC!$A$1:$G$256, 6, 0)</f>
        <v>1.7775000000000001</v>
      </c>
      <c r="H111">
        <f>VLOOKUP(B111, IBEX35!$A$1:$G$256, 6, 0)</f>
        <v>10062.599609000001</v>
      </c>
      <c r="J111" s="13">
        <f t="shared" si="11"/>
        <v>4.8828866399998339E-3</v>
      </c>
      <c r="K111" s="13">
        <f t="shared" si="12"/>
        <v>7.2275837909868169E-3</v>
      </c>
      <c r="L111" s="13">
        <f t="shared" si="13"/>
        <v>1.0666026683279657E-2</v>
      </c>
      <c r="M111" s="13">
        <f t="shared" si="14"/>
        <v>2.2138604177598825E-3</v>
      </c>
      <c r="N111" s="13">
        <f t="shared" si="15"/>
        <v>1.131553799257602E-2</v>
      </c>
      <c r="O111" s="13">
        <f t="shared" si="16"/>
        <v>5.9004674328892561E-3</v>
      </c>
    </row>
    <row r="112" spans="2:15" x14ac:dyDescent="0.2">
      <c r="B112" s="1">
        <v>45258</v>
      </c>
      <c r="C112" s="15">
        <f>VLOOKUP(B112, SAN.MC!$A$1:$G$256, 6, 0)</f>
        <v>3.7795000000000001</v>
      </c>
      <c r="D112" s="15">
        <f>VLOOKUP(B112, TEF.MC!$A$1:$G$256, 6, 0)</f>
        <v>3.7158630000000001</v>
      </c>
      <c r="E112">
        <f>VLOOKUP(B112, ACS.MC!$A$1:$G$256, 6, 0)</f>
        <v>35.532969999999999</v>
      </c>
      <c r="F112">
        <f>VLOOKUP(B112, IBE.MC!$A$1:$G$256, 6, 0)</f>
        <v>11.090040999999999</v>
      </c>
      <c r="G112">
        <f>VLOOKUP(B112, IAG.MC!$A$1:$G$256, 6, 0)</f>
        <v>1.7575000000000001</v>
      </c>
      <c r="H112">
        <f>VLOOKUP(B112, IBEX35!$A$1:$G$256, 6, 0)</f>
        <v>10003.400390999999</v>
      </c>
      <c r="J112" s="13">
        <f t="shared" si="11"/>
        <v>1.6002475100835238E-2</v>
      </c>
      <c r="K112" s="13">
        <f t="shared" si="12"/>
        <v>5.1950397392203562E-3</v>
      </c>
      <c r="L112" s="13">
        <f t="shared" si="13"/>
        <v>-1.0991630417525352E-3</v>
      </c>
      <c r="M112" s="13">
        <f t="shared" si="14"/>
        <v>1.7746059007519783E-3</v>
      </c>
      <c r="N112" s="13">
        <f t="shared" si="15"/>
        <v>5.1340671813895214E-3</v>
      </c>
      <c r="O112" s="13">
        <f t="shared" si="16"/>
        <v>6.7505240925943791E-3</v>
      </c>
    </row>
    <row r="113" spans="2:15" x14ac:dyDescent="0.2">
      <c r="B113" s="1">
        <v>45257</v>
      </c>
      <c r="C113" s="15">
        <f>VLOOKUP(B113, SAN.MC!$A$1:$G$256, 6, 0)</f>
        <v>3.7195</v>
      </c>
      <c r="D113" s="15">
        <f>VLOOKUP(B113, TEF.MC!$A$1:$G$256, 6, 0)</f>
        <v>3.696609</v>
      </c>
      <c r="E113">
        <f>VLOOKUP(B113, ACS.MC!$A$1:$G$256, 6, 0)</f>
        <v>35.572048000000002</v>
      </c>
      <c r="F113">
        <f>VLOOKUP(B113, IBE.MC!$A$1:$G$256, 6, 0)</f>
        <v>11.070378</v>
      </c>
      <c r="G113">
        <f>VLOOKUP(B113, IAG.MC!$A$1:$G$256, 6, 0)</f>
        <v>1.7484999999999999</v>
      </c>
      <c r="H113">
        <f>VLOOKUP(B113, IBEX35!$A$1:$G$256, 6, 0)</f>
        <v>9936.0996090000008</v>
      </c>
      <c r="J113" s="13">
        <f t="shared" si="11"/>
        <v>-1.2955106064857599E-2</v>
      </c>
      <c r="K113" s="13">
        <f t="shared" si="12"/>
        <v>2.8686277642903943E-3</v>
      </c>
      <c r="L113" s="13">
        <f t="shared" si="13"/>
        <v>4.9559454318983077E-3</v>
      </c>
      <c r="M113" s="13">
        <f t="shared" si="14"/>
        <v>6.2361751389614379E-3</v>
      </c>
      <c r="N113" s="13">
        <f t="shared" si="15"/>
        <v>-1.1656137656354705E-2</v>
      </c>
      <c r="O113" s="13">
        <f t="shared" si="16"/>
        <v>-2.918617846095294E-4</v>
      </c>
    </row>
    <row r="114" spans="2:15" x14ac:dyDescent="0.2">
      <c r="B114" s="1">
        <v>45254</v>
      </c>
      <c r="C114" s="15">
        <f>VLOOKUP(B114, SAN.MC!$A$1:$G$256, 6, 0)</f>
        <v>3.7679999999999998</v>
      </c>
      <c r="D114" s="15">
        <f>VLOOKUP(B114, TEF.MC!$A$1:$G$256, 6, 0)</f>
        <v>3.6860200000000001</v>
      </c>
      <c r="E114">
        <f>VLOOKUP(B114, ACS.MC!$A$1:$G$256, 6, 0)</f>
        <v>35.396191000000002</v>
      </c>
      <c r="F114">
        <f>VLOOKUP(B114, IBE.MC!$A$1:$G$256, 6, 0)</f>
        <v>11.001556000000001</v>
      </c>
      <c r="G114">
        <f>VLOOKUP(B114, IAG.MC!$A$1:$G$256, 6, 0)</f>
        <v>1.7689999999999999</v>
      </c>
      <c r="H114">
        <f>VLOOKUP(B114, IBEX35!$A$1:$G$256, 6, 0)</f>
        <v>9939</v>
      </c>
      <c r="J114" s="13">
        <f t="shared" si="11"/>
        <v>1.9924294297959211E-3</v>
      </c>
      <c r="K114" s="13">
        <f t="shared" si="12"/>
        <v>-2.3477445998632829E-3</v>
      </c>
      <c r="L114" s="13">
        <f t="shared" si="13"/>
        <v>6.3686316964419966E-3</v>
      </c>
      <c r="M114" s="13">
        <f t="shared" si="14"/>
        <v>5.3763043606672332E-3</v>
      </c>
      <c r="N114" s="13">
        <f t="shared" si="15"/>
        <v>8.4829638905732879E-4</v>
      </c>
      <c r="O114" s="13">
        <f t="shared" si="16"/>
        <v>3.3762535536242372E-3</v>
      </c>
    </row>
    <row r="115" spans="2:15" x14ac:dyDescent="0.2">
      <c r="B115" s="1">
        <v>45253</v>
      </c>
      <c r="C115" s="15">
        <f>VLOOKUP(B115, SAN.MC!$A$1:$G$256, 6, 0)</f>
        <v>3.7605</v>
      </c>
      <c r="D115" s="15">
        <f>VLOOKUP(B115, TEF.MC!$A$1:$G$256, 6, 0)</f>
        <v>3.6946840000000001</v>
      </c>
      <c r="E115">
        <f>VLOOKUP(B115, ACS.MC!$A$1:$G$256, 6, 0)</f>
        <v>35.171481999999997</v>
      </c>
      <c r="F115">
        <f>VLOOKUP(B115, IBE.MC!$A$1:$G$256, 6, 0)</f>
        <v>10.942567</v>
      </c>
      <c r="G115">
        <f>VLOOKUP(B115, IAG.MC!$A$1:$G$256, 6, 0)</f>
        <v>1.7675000000000001</v>
      </c>
      <c r="H115">
        <f>VLOOKUP(B115, IBEX35!$A$1:$G$256, 6, 0)</f>
        <v>9905.5</v>
      </c>
      <c r="J115" s="13">
        <f t="shared" si="11"/>
        <v>3.7298564620922812E-3</v>
      </c>
      <c r="K115" s="13">
        <f t="shared" si="12"/>
        <v>3.6543422341504283E-3</v>
      </c>
      <c r="L115" s="13">
        <f t="shared" si="13"/>
        <v>-1.6653322094369232E-3</v>
      </c>
      <c r="M115" s="13">
        <f t="shared" si="14"/>
        <v>3.1496466681865641E-3</v>
      </c>
      <c r="N115" s="13">
        <f t="shared" si="15"/>
        <v>-3.1465772863548867E-2</v>
      </c>
      <c r="O115" s="13">
        <f t="shared" si="16"/>
        <v>1.828899624362971E-3</v>
      </c>
    </row>
    <row r="116" spans="2:15" x14ac:dyDescent="0.2">
      <c r="B116" s="1">
        <v>45252</v>
      </c>
      <c r="C116" s="15">
        <f>VLOOKUP(B116, SAN.MC!$A$1:$G$256, 6, 0)</f>
        <v>3.7465000000000002</v>
      </c>
      <c r="D116" s="15">
        <f>VLOOKUP(B116, TEF.MC!$A$1:$G$256, 6, 0)</f>
        <v>3.6812070000000001</v>
      </c>
      <c r="E116">
        <f>VLOOKUP(B116, ACS.MC!$A$1:$G$256, 6, 0)</f>
        <v>35.230103</v>
      </c>
      <c r="F116">
        <f>VLOOKUP(B116, IBE.MC!$A$1:$G$256, 6, 0)</f>
        <v>10.908156</v>
      </c>
      <c r="G116">
        <f>VLOOKUP(B116, IAG.MC!$A$1:$G$256, 6, 0)</f>
        <v>1.8240000000000001</v>
      </c>
      <c r="H116">
        <f>VLOOKUP(B116, IBEX35!$A$1:$G$256, 6, 0)</f>
        <v>9887.4003909999992</v>
      </c>
      <c r="J116" s="13">
        <f t="shared" si="11"/>
        <v>5.4867986428316726E-3</v>
      </c>
      <c r="K116" s="13">
        <f t="shared" si="12"/>
        <v>1.104411646059855E-2</v>
      </c>
      <c r="L116" s="13">
        <f t="shared" si="13"/>
        <v>-3.3222259930988391E-3</v>
      </c>
      <c r="M116" s="13">
        <f t="shared" si="14"/>
        <v>4.9694437488123988E-3</v>
      </c>
      <c r="N116" s="13">
        <f t="shared" si="15"/>
        <v>2.2173857494322075E-2</v>
      </c>
      <c r="O116" s="13">
        <f t="shared" si="16"/>
        <v>6.0766804940030521E-3</v>
      </c>
    </row>
    <row r="117" spans="2:15" x14ac:dyDescent="0.2">
      <c r="B117" s="1">
        <v>45251</v>
      </c>
      <c r="C117" s="15">
        <f>VLOOKUP(B117, SAN.MC!$A$1:$G$256, 6, 0)</f>
        <v>3.726</v>
      </c>
      <c r="D117" s="15">
        <f>VLOOKUP(B117, TEF.MC!$A$1:$G$256, 6, 0)</f>
        <v>3.6407750000000001</v>
      </c>
      <c r="E117">
        <f>VLOOKUP(B117, ACS.MC!$A$1:$G$256, 6, 0)</f>
        <v>35.347340000000003</v>
      </c>
      <c r="F117">
        <f>VLOOKUP(B117, IBE.MC!$A$1:$G$256, 6, 0)</f>
        <v>10.854082999999999</v>
      </c>
      <c r="G117">
        <f>VLOOKUP(B117, IAG.MC!$A$1:$G$256, 6, 0)</f>
        <v>1.784</v>
      </c>
      <c r="H117">
        <f>VLOOKUP(B117, IBEX35!$A$1:$G$256, 6, 0)</f>
        <v>9827.5</v>
      </c>
      <c r="J117" s="13">
        <f t="shared" si="11"/>
        <v>-2.1447729401342062E-3</v>
      </c>
      <c r="K117" s="13">
        <f t="shared" si="12"/>
        <v>-4.4848501058988516E-3</v>
      </c>
      <c r="L117" s="13">
        <f t="shared" si="13"/>
        <v>6.0992465101933806E-3</v>
      </c>
      <c r="M117" s="13">
        <f t="shared" si="14"/>
        <v>-7.6698261676173447E-3</v>
      </c>
      <c r="N117" s="13">
        <f t="shared" si="15"/>
        <v>-4.4671079521257775E-2</v>
      </c>
      <c r="O117" s="13">
        <f t="shared" si="16"/>
        <v>-1.1695015697500476E-3</v>
      </c>
    </row>
    <row r="118" spans="2:15" x14ac:dyDescent="0.2">
      <c r="B118" s="1">
        <v>45250</v>
      </c>
      <c r="C118" s="15">
        <f>VLOOKUP(B118, SAN.MC!$A$1:$G$256, 6, 0)</f>
        <v>3.734</v>
      </c>
      <c r="D118" s="15">
        <f>VLOOKUP(B118, TEF.MC!$A$1:$G$256, 6, 0)</f>
        <v>3.6571400000000001</v>
      </c>
      <c r="E118">
        <f>VLOOKUP(B118, ACS.MC!$A$1:$G$256, 6, 0)</f>
        <v>35.132404000000001</v>
      </c>
      <c r="F118">
        <f>VLOOKUP(B118, IBE.MC!$A$1:$G$256, 6, 0)</f>
        <v>10.937652</v>
      </c>
      <c r="G118">
        <f>VLOOKUP(B118, IAG.MC!$A$1:$G$256, 6, 0)</f>
        <v>1.8654999999999999</v>
      </c>
      <c r="H118">
        <f>VLOOKUP(B118, IBEX35!$A$1:$G$256, 6, 0)</f>
        <v>9839</v>
      </c>
      <c r="J118" s="13">
        <f t="shared" si="11"/>
        <v>2.8159589509676708E-3</v>
      </c>
      <c r="K118" s="13">
        <f t="shared" si="12"/>
        <v>1.2182272305441898E-2</v>
      </c>
      <c r="L118" s="13">
        <f t="shared" si="13"/>
        <v>1.9485330900642394E-3</v>
      </c>
      <c r="M118" s="13">
        <f t="shared" si="14"/>
        <v>4.9561929523581783E-3</v>
      </c>
      <c r="N118" s="13">
        <f t="shared" si="15"/>
        <v>5.9139957315668922E-3</v>
      </c>
      <c r="O118" s="13">
        <f t="shared" si="16"/>
        <v>7.9182070668570009E-3</v>
      </c>
    </row>
    <row r="119" spans="2:15" x14ac:dyDescent="0.2">
      <c r="B119" s="1">
        <v>45247</v>
      </c>
      <c r="C119" s="15">
        <f>VLOOKUP(B119, SAN.MC!$A$1:$G$256, 6, 0)</f>
        <v>3.7235</v>
      </c>
      <c r="D119" s="15">
        <f>VLOOKUP(B119, TEF.MC!$A$1:$G$256, 6, 0)</f>
        <v>3.6128580000000001</v>
      </c>
      <c r="E119">
        <f>VLOOKUP(B119, ACS.MC!$A$1:$G$256, 6, 0)</f>
        <v>35.064014</v>
      </c>
      <c r="F119">
        <f>VLOOKUP(B119, IBE.MC!$A$1:$G$256, 6, 0)</f>
        <v>10.883577000000001</v>
      </c>
      <c r="G119">
        <f>VLOOKUP(B119, IAG.MC!$A$1:$G$256, 6, 0)</f>
        <v>1.8545</v>
      </c>
      <c r="H119">
        <f>VLOOKUP(B119, IBEX35!$A$1:$G$256, 6, 0)</f>
        <v>9761.4003909999992</v>
      </c>
      <c r="J119" s="13">
        <f t="shared" si="11"/>
        <v>9.0376281161273896E-3</v>
      </c>
      <c r="K119" s="13">
        <f t="shared" si="12"/>
        <v>8.8319255294676147E-3</v>
      </c>
      <c r="L119" s="13">
        <f t="shared" si="13"/>
        <v>9.2372295915781281E-3</v>
      </c>
      <c r="M119" s="13">
        <f t="shared" si="14"/>
        <v>5.8889046274803588E-3</v>
      </c>
      <c r="N119" s="13">
        <f t="shared" si="15"/>
        <v>1.5487335774731808E-2</v>
      </c>
      <c r="O119" s="13">
        <f t="shared" si="16"/>
        <v>9.6764318616161873E-3</v>
      </c>
    </row>
    <row r="120" spans="2:15" x14ac:dyDescent="0.2">
      <c r="B120" s="1">
        <v>45246</v>
      </c>
      <c r="C120" s="15">
        <f>VLOOKUP(B120, SAN.MC!$A$1:$G$256, 6, 0)</f>
        <v>3.69</v>
      </c>
      <c r="D120" s="15">
        <f>VLOOKUP(B120, TEF.MC!$A$1:$G$256, 6, 0)</f>
        <v>3.5810900000000001</v>
      </c>
      <c r="E120">
        <f>VLOOKUP(B120, ACS.MC!$A$1:$G$256, 6, 0)</f>
        <v>34.741610999999999</v>
      </c>
      <c r="F120">
        <f>VLOOKUP(B120, IBE.MC!$A$1:$G$256, 6, 0)</f>
        <v>10.819673</v>
      </c>
      <c r="G120">
        <f>VLOOKUP(B120, IAG.MC!$A$1:$G$256, 6, 0)</f>
        <v>1.8260000000000001</v>
      </c>
      <c r="H120">
        <f>VLOOKUP(B120, IBEX35!$A$1:$G$256, 6, 0)</f>
        <v>9667.4003909999992</v>
      </c>
      <c r="J120" s="13">
        <f t="shared" si="11"/>
        <v>5.4347959859569949E-3</v>
      </c>
      <c r="K120" s="13">
        <f t="shared" si="12"/>
        <v>2.4223065235009053E-3</v>
      </c>
      <c r="L120" s="13">
        <f t="shared" si="13"/>
        <v>1.0459438838732016E-2</v>
      </c>
      <c r="M120" s="13">
        <f t="shared" si="14"/>
        <v>2.11211977891454E-2</v>
      </c>
      <c r="N120" s="13">
        <f t="shared" si="15"/>
        <v>-8.1811200781640222E-3</v>
      </c>
      <c r="O120" s="13">
        <f t="shared" si="16"/>
        <v>2.7657006343471662E-3</v>
      </c>
    </row>
    <row r="121" spans="2:15" x14ac:dyDescent="0.2">
      <c r="B121" s="1">
        <v>45245</v>
      </c>
      <c r="C121" s="15">
        <f>VLOOKUP(B121, SAN.MC!$A$1:$G$256, 6, 0)</f>
        <v>3.67</v>
      </c>
      <c r="D121" s="15">
        <f>VLOOKUP(B121, TEF.MC!$A$1:$G$256, 6, 0)</f>
        <v>3.5724260000000001</v>
      </c>
      <c r="E121">
        <f>VLOOKUP(B121, ACS.MC!$A$1:$G$256, 6, 0)</f>
        <v>34.380127000000002</v>
      </c>
      <c r="F121">
        <f>VLOOKUP(B121, IBE.MC!$A$1:$G$256, 6, 0)</f>
        <v>10.593545000000001</v>
      </c>
      <c r="G121">
        <f>VLOOKUP(B121, IAG.MC!$A$1:$G$256, 6, 0)</f>
        <v>1.841</v>
      </c>
      <c r="H121">
        <f>VLOOKUP(B121, IBEX35!$A$1:$G$256, 6, 0)</f>
        <v>9640.7001949999994</v>
      </c>
      <c r="J121" s="13">
        <f t="shared" si="11"/>
        <v>-3.6717250742522951E-3</v>
      </c>
      <c r="K121" s="13">
        <f t="shared" si="12"/>
        <v>-6.9820121673274888E-3</v>
      </c>
      <c r="L121" s="13">
        <f t="shared" si="13"/>
        <v>2.1833759105425846E-2</v>
      </c>
      <c r="M121" s="13">
        <f t="shared" si="14"/>
        <v>-1.0157193332894571E-2</v>
      </c>
      <c r="N121" s="13">
        <f t="shared" si="15"/>
        <v>4.3575646546654051E-2</v>
      </c>
      <c r="O121" s="13">
        <f t="shared" si="16"/>
        <v>1.8065193866484859E-3</v>
      </c>
    </row>
    <row r="122" spans="2:15" x14ac:dyDescent="0.2">
      <c r="B122" s="1">
        <v>45244</v>
      </c>
      <c r="C122" s="15">
        <f>VLOOKUP(B122, SAN.MC!$A$1:$G$256, 6, 0)</f>
        <v>3.6835</v>
      </c>
      <c r="D122" s="15">
        <f>VLOOKUP(B122, TEF.MC!$A$1:$G$256, 6, 0)</f>
        <v>3.5974560000000002</v>
      </c>
      <c r="E122">
        <f>VLOOKUP(B122, ACS.MC!$A$1:$G$256, 6, 0)</f>
        <v>33.637614999999997</v>
      </c>
      <c r="F122">
        <f>VLOOKUP(B122, IBE.MC!$A$1:$G$256, 6, 0)</f>
        <v>10.701694</v>
      </c>
      <c r="G122">
        <f>VLOOKUP(B122, IAG.MC!$A$1:$G$256, 6, 0)</f>
        <v>1.7625</v>
      </c>
      <c r="H122">
        <f>VLOOKUP(B122, IBEX35!$A$1:$G$256, 6, 0)</f>
        <v>9623.2998050000006</v>
      </c>
      <c r="J122" s="13">
        <f t="shared" si="11"/>
        <v>9.1362195463311167E-3</v>
      </c>
      <c r="K122" s="13">
        <f t="shared" si="12"/>
        <v>-3.4725330721365162E-3</v>
      </c>
      <c r="L122" s="13">
        <f t="shared" si="13"/>
        <v>1.9059346125293964E-2</v>
      </c>
      <c r="M122" s="13">
        <f t="shared" si="14"/>
        <v>1.6207909166664338E-2</v>
      </c>
      <c r="N122" s="13">
        <f t="shared" si="15"/>
        <v>9.4057982868761703E-3</v>
      </c>
      <c r="O122" s="13">
        <f t="shared" si="16"/>
        <v>1.6935129388888148E-2</v>
      </c>
    </row>
    <row r="123" spans="2:15" x14ac:dyDescent="0.2">
      <c r="B123" s="1">
        <v>45243</v>
      </c>
      <c r="C123" s="15">
        <f>VLOOKUP(B123, SAN.MC!$A$1:$G$256, 6, 0)</f>
        <v>3.65</v>
      </c>
      <c r="D123" s="15">
        <f>VLOOKUP(B123, TEF.MC!$A$1:$G$256, 6, 0)</f>
        <v>3.6099700000000001</v>
      </c>
      <c r="E123">
        <f>VLOOKUP(B123, ACS.MC!$A$1:$G$256, 6, 0)</f>
        <v>33.002575</v>
      </c>
      <c r="F123">
        <f>VLOOKUP(B123, IBE.MC!$A$1:$G$256, 6, 0)</f>
        <v>10.529640000000001</v>
      </c>
      <c r="G123">
        <f>VLOOKUP(B123, IAG.MC!$A$1:$G$256, 6, 0)</f>
        <v>1.746</v>
      </c>
      <c r="H123">
        <f>VLOOKUP(B123, IBEX35!$A$1:$G$256, 6, 0)</f>
        <v>9461.7001949999994</v>
      </c>
      <c r="J123" s="13">
        <f t="shared" si="11"/>
        <v>1.1296441933748664E-2</v>
      </c>
      <c r="K123" s="13">
        <f t="shared" si="12"/>
        <v>1.1802717351408051E-2</v>
      </c>
      <c r="L123" s="13">
        <f t="shared" si="13"/>
        <v>1.5513359631201236E-2</v>
      </c>
      <c r="M123" s="13">
        <f t="shared" si="14"/>
        <v>5.6180324323968555E-3</v>
      </c>
      <c r="N123" s="13">
        <f t="shared" si="15"/>
        <v>7.4734466839414511E-3</v>
      </c>
      <c r="O123" s="13">
        <f t="shared" si="16"/>
        <v>9.55756084801496E-3</v>
      </c>
    </row>
    <row r="124" spans="2:15" x14ac:dyDescent="0.2">
      <c r="B124" s="1">
        <v>45240</v>
      </c>
      <c r="C124" s="15">
        <f>VLOOKUP(B124, SAN.MC!$A$1:$G$256, 6, 0)</f>
        <v>3.609</v>
      </c>
      <c r="D124" s="15">
        <f>VLOOKUP(B124, TEF.MC!$A$1:$G$256, 6, 0)</f>
        <v>3.5676130000000001</v>
      </c>
      <c r="E124">
        <f>VLOOKUP(B124, ACS.MC!$A$1:$G$256, 6, 0)</f>
        <v>32.494545000000002</v>
      </c>
      <c r="F124">
        <f>VLOOKUP(B124, IBE.MC!$A$1:$G$256, 6, 0)</f>
        <v>10.470649999999999</v>
      </c>
      <c r="G124">
        <f>VLOOKUP(B124, IAG.MC!$A$1:$G$256, 6, 0)</f>
        <v>1.7330000000000001</v>
      </c>
      <c r="H124">
        <f>VLOOKUP(B124, IBEX35!$A$1:$G$256, 6, 0)</f>
        <v>9371.7001949999994</v>
      </c>
      <c r="J124" s="13">
        <f t="shared" si="11"/>
        <v>3.3305609471645323E-3</v>
      </c>
      <c r="K124" s="13">
        <f t="shared" si="12"/>
        <v>4.0557376092002868E-3</v>
      </c>
      <c r="L124" s="13">
        <f t="shared" si="13"/>
        <v>-1.802277699555636E-3</v>
      </c>
      <c r="M124" s="13">
        <f t="shared" si="14"/>
        <v>0</v>
      </c>
      <c r="N124" s="13">
        <f t="shared" si="15"/>
        <v>-1.9712108055121726E-2</v>
      </c>
      <c r="O124" s="13">
        <f t="shared" si="16"/>
        <v>-3.5682178472686106E-3</v>
      </c>
    </row>
    <row r="125" spans="2:15" x14ac:dyDescent="0.2">
      <c r="B125" s="1">
        <v>45239</v>
      </c>
      <c r="C125" s="15">
        <f>VLOOKUP(B125, SAN.MC!$A$1:$G$256, 6, 0)</f>
        <v>3.597</v>
      </c>
      <c r="D125" s="15">
        <f>VLOOKUP(B125, TEF.MC!$A$1:$G$256, 6, 0)</f>
        <v>3.5531730000000001</v>
      </c>
      <c r="E125">
        <f>VLOOKUP(B125, ACS.MC!$A$1:$G$256, 6, 0)</f>
        <v>32.553162</v>
      </c>
      <c r="F125">
        <f>VLOOKUP(B125, IBE.MC!$A$1:$G$256, 6, 0)</f>
        <v>10.470649999999999</v>
      </c>
      <c r="G125">
        <f>VLOOKUP(B125, IAG.MC!$A$1:$G$256, 6, 0)</f>
        <v>1.7675000000000001</v>
      </c>
      <c r="H125">
        <f>VLOOKUP(B125, IBEX35!$A$1:$G$256, 6, 0)</f>
        <v>9405.2001949999994</v>
      </c>
      <c r="J125" s="13">
        <f t="shared" si="11"/>
        <v>1.3575185730586343E-2</v>
      </c>
      <c r="K125" s="13">
        <f t="shared" si="12"/>
        <v>8.1312514528050566E-4</v>
      </c>
      <c r="L125" s="13">
        <f t="shared" si="13"/>
        <v>1.8022776995556505E-3</v>
      </c>
      <c r="M125" s="13">
        <f t="shared" si="14"/>
        <v>1.7523484694781478E-2</v>
      </c>
      <c r="N125" s="13">
        <f t="shared" si="15"/>
        <v>7.0972618707616847E-3</v>
      </c>
      <c r="O125" s="13">
        <f t="shared" si="16"/>
        <v>1.2991823807310555E-2</v>
      </c>
    </row>
    <row r="126" spans="2:15" x14ac:dyDescent="0.2">
      <c r="B126" s="1">
        <v>45238</v>
      </c>
      <c r="C126" s="15">
        <f>VLOOKUP(B126, SAN.MC!$A$1:$G$256, 6, 0)</f>
        <v>3.5485000000000002</v>
      </c>
      <c r="D126" s="15">
        <f>VLOOKUP(B126, TEF.MC!$A$1:$G$256, 6, 0)</f>
        <v>3.5502850000000001</v>
      </c>
      <c r="E126">
        <f>VLOOKUP(B126, ACS.MC!$A$1:$G$256, 6, 0)</f>
        <v>32.494545000000002</v>
      </c>
      <c r="F126">
        <f>VLOOKUP(B126, IBE.MC!$A$1:$G$256, 6, 0)</f>
        <v>10.288766000000001</v>
      </c>
      <c r="G126">
        <f>VLOOKUP(B126, IAG.MC!$A$1:$G$256, 6, 0)</f>
        <v>1.7549999999999999</v>
      </c>
      <c r="H126">
        <f>VLOOKUP(B126, IBEX35!$A$1:$G$256, 6, 0)</f>
        <v>9283.7998050000006</v>
      </c>
      <c r="J126" s="13">
        <f t="shared" si="11"/>
        <v>7.7799388099851381E-3</v>
      </c>
      <c r="K126" s="13">
        <f t="shared" si="12"/>
        <v>-4.5988979365736826E-3</v>
      </c>
      <c r="L126" s="13">
        <f t="shared" si="13"/>
        <v>2.4083167932177803E-3</v>
      </c>
      <c r="M126" s="13">
        <f t="shared" si="14"/>
        <v>0</v>
      </c>
      <c r="N126" s="13">
        <f t="shared" si="15"/>
        <v>1.9563339688426724E-2</v>
      </c>
      <c r="O126" s="13">
        <f t="shared" si="16"/>
        <v>5.1728181667002066E-3</v>
      </c>
    </row>
    <row r="127" spans="2:15" x14ac:dyDescent="0.2">
      <c r="B127" s="1">
        <v>45237</v>
      </c>
      <c r="C127" s="15">
        <f>VLOOKUP(B127, SAN.MC!$A$1:$G$256, 6, 0)</f>
        <v>3.5209999999999999</v>
      </c>
      <c r="D127" s="15">
        <f>VLOOKUP(B127, TEF.MC!$A$1:$G$256, 6, 0)</f>
        <v>3.5666500000000001</v>
      </c>
      <c r="E127">
        <f>VLOOKUP(B127, ACS.MC!$A$1:$G$256, 6, 0)</f>
        <v>32.416381999999999</v>
      </c>
      <c r="F127">
        <f>VLOOKUP(B127, IBE.MC!$A$1:$G$256, 6, 0)</f>
        <v>10.288766000000001</v>
      </c>
      <c r="G127">
        <f>VLOOKUP(B127, IAG.MC!$A$1:$G$256, 6, 0)</f>
        <v>1.7210000000000001</v>
      </c>
      <c r="H127">
        <f>VLOOKUP(B127, IBEX35!$A$1:$G$256, 6, 0)</f>
        <v>9235.9003909999992</v>
      </c>
      <c r="J127" s="13">
        <f t="shared" si="11"/>
        <v>-5.3816869727676695E-3</v>
      </c>
      <c r="K127" s="13">
        <f t="shared" si="12"/>
        <v>-5.3838241577240601E-3</v>
      </c>
      <c r="L127" s="13">
        <f t="shared" si="13"/>
        <v>-9.5982032607273855E-3</v>
      </c>
      <c r="M127" s="13">
        <f t="shared" si="14"/>
        <v>-9.9833702845603476E-3</v>
      </c>
      <c r="N127" s="13">
        <f t="shared" si="15"/>
        <v>-2.3215332539206698E-3</v>
      </c>
      <c r="O127" s="13">
        <f t="shared" si="16"/>
        <v>-6.0610357008360725E-4</v>
      </c>
    </row>
    <row r="128" spans="2:15" x14ac:dyDescent="0.2">
      <c r="B128" s="1">
        <v>45236</v>
      </c>
      <c r="C128" s="15">
        <f>VLOOKUP(B128, SAN.MC!$A$1:$G$256, 6, 0)</f>
        <v>3.54</v>
      </c>
      <c r="D128" s="15">
        <f>VLOOKUP(B128, TEF.MC!$A$1:$G$256, 6, 0)</f>
        <v>3.5859040000000002</v>
      </c>
      <c r="E128">
        <f>VLOOKUP(B128, ACS.MC!$A$1:$G$256, 6, 0)</f>
        <v>32.729019000000001</v>
      </c>
      <c r="F128">
        <f>VLOOKUP(B128, IBE.MC!$A$1:$G$256, 6, 0)</f>
        <v>10.391997</v>
      </c>
      <c r="G128">
        <f>VLOOKUP(B128, IAG.MC!$A$1:$G$256, 6, 0)</f>
        <v>1.7250000000000001</v>
      </c>
      <c r="H128">
        <f>VLOOKUP(B128, IBEX35!$A$1:$G$256, 6, 0)</f>
        <v>9241.5</v>
      </c>
      <c r="J128" s="13">
        <f t="shared" si="11"/>
        <v>-1.053750530278591E-2</v>
      </c>
      <c r="K128" s="13">
        <f t="shared" si="12"/>
        <v>-7.4885448250958733E-3</v>
      </c>
      <c r="L128" s="13">
        <f t="shared" si="13"/>
        <v>-1.1574534697996956E-2</v>
      </c>
      <c r="M128" s="13">
        <f t="shared" si="14"/>
        <v>-1.0353171144058232E-2</v>
      </c>
      <c r="N128" s="13">
        <f t="shared" si="15"/>
        <v>-2.6052989117632541E-3</v>
      </c>
      <c r="O128" s="13">
        <f t="shared" si="16"/>
        <v>-5.6541029050390292E-3</v>
      </c>
    </row>
    <row r="129" spans="2:15" x14ac:dyDescent="0.2">
      <c r="B129" s="1">
        <v>45233</v>
      </c>
      <c r="C129" s="15">
        <f>VLOOKUP(B129, SAN.MC!$A$1:$G$256, 6, 0)</f>
        <v>3.5775000000000001</v>
      </c>
      <c r="D129" s="15">
        <f>VLOOKUP(B129, TEF.MC!$A$1:$G$256, 6, 0)</f>
        <v>3.6128580000000001</v>
      </c>
      <c r="E129">
        <f>VLOOKUP(B129, ACS.MC!$A$1:$G$256, 6, 0)</f>
        <v>33.110042999999997</v>
      </c>
      <c r="F129">
        <f>VLOOKUP(B129, IBE.MC!$A$1:$G$256, 6, 0)</f>
        <v>10.500146000000001</v>
      </c>
      <c r="G129">
        <f>VLOOKUP(B129, IAG.MC!$A$1:$G$256, 6, 0)</f>
        <v>1.7295</v>
      </c>
      <c r="H129">
        <f>VLOOKUP(B129, IBEX35!$A$1:$G$256, 6, 0)</f>
        <v>9293.9003909999992</v>
      </c>
      <c r="J129" s="13">
        <f t="shared" si="11"/>
        <v>-2.0942416031147371E-3</v>
      </c>
      <c r="K129" s="13">
        <f t="shared" si="12"/>
        <v>2.7280407808497425E-2</v>
      </c>
      <c r="L129" s="13">
        <f t="shared" si="13"/>
        <v>-8.8132872175483747E-3</v>
      </c>
      <c r="M129" s="13">
        <f t="shared" si="14"/>
        <v>-6.5328092380770829E-3</v>
      </c>
      <c r="N129" s="13">
        <f t="shared" si="15"/>
        <v>2.2512279478643E-2</v>
      </c>
      <c r="O129" s="13">
        <f t="shared" si="16"/>
        <v>3.6110265534193358E-3</v>
      </c>
    </row>
    <row r="130" spans="2:15" x14ac:dyDescent="0.2">
      <c r="B130" s="1">
        <v>45232</v>
      </c>
      <c r="C130" s="15">
        <f>VLOOKUP(B130, SAN.MC!$A$1:$G$256, 6, 0)</f>
        <v>3.585</v>
      </c>
      <c r="D130" s="15">
        <f>VLOOKUP(B130, TEF.MC!$A$1:$G$256, 6, 0)</f>
        <v>3.5156299999999998</v>
      </c>
      <c r="E130">
        <f>VLOOKUP(B130, ACS.MC!$A$1:$G$256, 6, 0)</f>
        <v>33.403140999999998</v>
      </c>
      <c r="F130">
        <f>VLOOKUP(B130, IBE.MC!$A$1:$G$256, 6, 0)</f>
        <v>10.568966</v>
      </c>
      <c r="G130">
        <f>VLOOKUP(B130, IAG.MC!$A$1:$G$256, 6, 0)</f>
        <v>1.6910000000000001</v>
      </c>
      <c r="H130">
        <f>VLOOKUP(B130, IBEX35!$A$1:$G$256, 6, 0)</f>
        <v>9260.4003909999992</v>
      </c>
      <c r="J130" s="13">
        <f t="shared" si="11"/>
        <v>2.3852658616468302E-2</v>
      </c>
      <c r="K130" s="13">
        <f t="shared" si="12"/>
        <v>1.4896949583313517E-2</v>
      </c>
      <c r="L130" s="13">
        <f t="shared" si="13"/>
        <v>5.8668056284644169E-3</v>
      </c>
      <c r="M130" s="13">
        <f t="shared" si="14"/>
        <v>2.0202676422292034E-2</v>
      </c>
      <c r="N130" s="13">
        <f t="shared" si="15"/>
        <v>1.5194691264845926E-2</v>
      </c>
      <c r="O130" s="13">
        <f t="shared" si="16"/>
        <v>2.022390634130336E-2</v>
      </c>
    </row>
    <row r="131" spans="2:15" x14ac:dyDescent="0.2">
      <c r="B131" s="1">
        <v>45231</v>
      </c>
      <c r="C131" s="15">
        <f>VLOOKUP(B131, SAN.MC!$A$1:$G$256, 6, 0)</f>
        <v>3.5005000000000002</v>
      </c>
      <c r="D131" s="15">
        <f>VLOOKUP(B131, TEF.MC!$A$1:$G$256, 6, 0)</f>
        <v>3.4636459999999998</v>
      </c>
      <c r="E131">
        <f>VLOOKUP(B131, ACS.MC!$A$1:$G$256, 6, 0)</f>
        <v>33.207745000000003</v>
      </c>
      <c r="F131">
        <f>VLOOKUP(B131, IBE.MC!$A$1:$G$256, 6, 0)</f>
        <v>10.357587000000001</v>
      </c>
      <c r="G131">
        <f>VLOOKUP(B131, IAG.MC!$A$1:$G$256, 6, 0)</f>
        <v>1.6655</v>
      </c>
      <c r="H131">
        <f>VLOOKUP(B131, IBEX35!$A$1:$G$256, 6, 0)</f>
        <v>9075</v>
      </c>
      <c r="J131" s="13">
        <f t="shared" si="11"/>
        <v>9.9046241417007769E-3</v>
      </c>
      <c r="K131" s="13">
        <f t="shared" si="12"/>
        <v>-1.3252649688419119E-2</v>
      </c>
      <c r="L131" s="13">
        <f t="shared" si="13"/>
        <v>-5.2815696714343177E-3</v>
      </c>
      <c r="M131" s="13">
        <f t="shared" si="14"/>
        <v>3.327829999010214E-3</v>
      </c>
      <c r="N131" s="13">
        <f t="shared" si="15"/>
        <v>7.836085907892849E-3</v>
      </c>
      <c r="O131" s="13">
        <f t="shared" si="16"/>
        <v>6.378447322617606E-3</v>
      </c>
    </row>
    <row r="132" spans="2:15" x14ac:dyDescent="0.2">
      <c r="B132" s="1">
        <v>45230</v>
      </c>
      <c r="C132" s="15">
        <f>VLOOKUP(B132, SAN.MC!$A$1:$G$256, 6, 0)</f>
        <v>3.4660000000000002</v>
      </c>
      <c r="D132" s="15">
        <f>VLOOKUP(B132, TEF.MC!$A$1:$G$256, 6, 0)</f>
        <v>3.5098539999999998</v>
      </c>
      <c r="E132">
        <f>VLOOKUP(B132, ACS.MC!$A$1:$G$256, 6, 0)</f>
        <v>33.383597999999999</v>
      </c>
      <c r="F132">
        <f>VLOOKUP(B132, IBE.MC!$A$1:$G$256, 6, 0)</f>
        <v>10.323176</v>
      </c>
      <c r="G132">
        <f>VLOOKUP(B132, IAG.MC!$A$1:$G$256, 6, 0)</f>
        <v>1.6525000000000001</v>
      </c>
      <c r="H132">
        <f>VLOOKUP(B132, IBEX35!$A$1:$G$256, 6, 0)</f>
        <v>9017.2998050000006</v>
      </c>
      <c r="J132" s="13">
        <f t="shared" si="11"/>
        <v>-6.4706531037398412E-3</v>
      </c>
      <c r="K132" s="13">
        <f t="shared" si="12"/>
        <v>9.645917234102035E-3</v>
      </c>
      <c r="L132" s="13">
        <f t="shared" si="13"/>
        <v>1.2663903805913378E-2</v>
      </c>
      <c r="M132" s="13">
        <f t="shared" si="14"/>
        <v>9.088781304868036E-3</v>
      </c>
      <c r="N132" s="13">
        <f t="shared" si="15"/>
        <v>4.5489085263692094E-3</v>
      </c>
      <c r="O132" s="13">
        <f t="shared" si="16"/>
        <v>3.7705909793300622E-4</v>
      </c>
    </row>
    <row r="133" spans="2:15" x14ac:dyDescent="0.2">
      <c r="B133" s="1">
        <v>45229</v>
      </c>
      <c r="C133" s="15">
        <f>VLOOKUP(B133, SAN.MC!$A$1:$G$256, 6, 0)</f>
        <v>3.4885000000000002</v>
      </c>
      <c r="D133" s="15">
        <f>VLOOKUP(B133, TEF.MC!$A$1:$G$256, 6, 0)</f>
        <v>3.4761609999999998</v>
      </c>
      <c r="E133">
        <f>VLOOKUP(B133, ACS.MC!$A$1:$G$256, 6, 0)</f>
        <v>32.963496999999997</v>
      </c>
      <c r="F133">
        <f>VLOOKUP(B133, IBE.MC!$A$1:$G$256, 6, 0)</f>
        <v>10.229775999999999</v>
      </c>
      <c r="G133">
        <f>VLOOKUP(B133, IAG.MC!$A$1:$G$256, 6, 0)</f>
        <v>1.645</v>
      </c>
      <c r="H133">
        <f>VLOOKUP(B133, IBEX35!$A$1:$G$256, 6, 0)</f>
        <v>9013.9003909999992</v>
      </c>
      <c r="J133" s="13">
        <f t="shared" si="11"/>
        <v>2.5105998868342132E-2</v>
      </c>
      <c r="K133" s="13">
        <f t="shared" si="12"/>
        <v>1.1419143119376796E-2</v>
      </c>
      <c r="L133" s="13">
        <f t="shared" si="13"/>
        <v>9.5296023692937135E-3</v>
      </c>
      <c r="M133" s="13">
        <f t="shared" si="14"/>
        <v>3.3693800076321136E-3</v>
      </c>
      <c r="N133" s="13">
        <f t="shared" si="15"/>
        <v>1.284814247784884E-2</v>
      </c>
      <c r="O133" s="13">
        <f t="shared" si="16"/>
        <v>1.0662550126480871E-2</v>
      </c>
    </row>
    <row r="134" spans="2:15" x14ac:dyDescent="0.2">
      <c r="B134" s="1">
        <v>45226</v>
      </c>
      <c r="C134" s="15">
        <f>VLOOKUP(B134, SAN.MC!$A$1:$G$256, 6, 0)</f>
        <v>3.4020079999999999</v>
      </c>
      <c r="D134" s="15">
        <f>VLOOKUP(B134, TEF.MC!$A$1:$G$256, 6, 0)</f>
        <v>3.4366919999999999</v>
      </c>
      <c r="E134">
        <f>VLOOKUP(B134, ACS.MC!$A$1:$G$256, 6, 0)</f>
        <v>32.650860000000002</v>
      </c>
      <c r="F134">
        <f>VLOOKUP(B134, IBE.MC!$A$1:$G$256, 6, 0)</f>
        <v>10.195366</v>
      </c>
      <c r="G134">
        <f>VLOOKUP(B134, IAG.MC!$A$1:$G$256, 6, 0)</f>
        <v>1.6240000000000001</v>
      </c>
      <c r="H134">
        <f>VLOOKUP(B134, IBEX35!$A$1:$G$256, 6, 0)</f>
        <v>8918.2998050000006</v>
      </c>
      <c r="J134" s="13">
        <f t="shared" si="11"/>
        <v>-8.5812212965576725E-3</v>
      </c>
      <c r="K134" s="13">
        <f t="shared" si="12"/>
        <v>3.0862090295974329E-3</v>
      </c>
      <c r="L134" s="13">
        <f t="shared" si="13"/>
        <v>2.0251518049116977E-2</v>
      </c>
      <c r="M134" s="13">
        <f t="shared" si="14"/>
        <v>-1.4836284637841984E-2</v>
      </c>
      <c r="N134" s="13">
        <f t="shared" si="15"/>
        <v>-1.3152047661771221E-2</v>
      </c>
      <c r="O134" s="13">
        <f t="shared" si="16"/>
        <v>-4.9773328084072388E-3</v>
      </c>
    </row>
    <row r="135" spans="2:15" x14ac:dyDescent="0.2">
      <c r="B135" s="1">
        <v>45225</v>
      </c>
      <c r="C135" s="15">
        <f>VLOOKUP(B135, SAN.MC!$A$1:$G$256, 6, 0)</f>
        <v>3.431327</v>
      </c>
      <c r="D135" s="15">
        <f>VLOOKUP(B135, TEF.MC!$A$1:$G$256, 6, 0)</f>
        <v>3.4261020000000002</v>
      </c>
      <c r="E135">
        <f>VLOOKUP(B135, ACS.MC!$A$1:$G$256, 6, 0)</f>
        <v>31.996281</v>
      </c>
      <c r="F135">
        <f>VLOOKUP(B135, IBE.MC!$A$1:$G$256, 6, 0)</f>
        <v>10.347754999999999</v>
      </c>
      <c r="G135">
        <f>VLOOKUP(B135, IAG.MC!$A$1:$G$256, 6, 0)</f>
        <v>1.6455</v>
      </c>
      <c r="H135">
        <f>VLOOKUP(B135, IBEX35!$A$1:$G$256, 6, 0)</f>
        <v>8962.7998050000006</v>
      </c>
      <c r="J135" s="13">
        <f t="shared" si="11"/>
        <v>1.4343220119830259E-2</v>
      </c>
      <c r="K135" s="13">
        <f t="shared" si="12"/>
        <v>-4.2058453258737626E-3</v>
      </c>
      <c r="L135" s="13">
        <f t="shared" si="13"/>
        <v>7.3552100380715494E-3</v>
      </c>
      <c r="M135" s="13">
        <f t="shared" si="14"/>
        <v>-4.7496607967577412E-4</v>
      </c>
      <c r="N135" s="13">
        <f t="shared" si="15"/>
        <v>2.2431421391011421E-2</v>
      </c>
      <c r="O135" s="13">
        <f t="shared" si="16"/>
        <v>-2.451582551077784E-3</v>
      </c>
    </row>
    <row r="136" spans="2:15" x14ac:dyDescent="0.2">
      <c r="B136" s="1">
        <v>45224</v>
      </c>
      <c r="C136" s="15">
        <f>VLOOKUP(B136, SAN.MC!$A$1:$G$256, 6, 0)</f>
        <v>3.3824619999999999</v>
      </c>
      <c r="D136" s="15">
        <f>VLOOKUP(B136, TEF.MC!$A$1:$G$256, 6, 0)</f>
        <v>3.4405420000000002</v>
      </c>
      <c r="E136">
        <f>VLOOKUP(B136, ACS.MC!$A$1:$G$256, 6, 0)</f>
        <v>31.761804999999999</v>
      </c>
      <c r="F136">
        <f>VLOOKUP(B136, IBE.MC!$A$1:$G$256, 6, 0)</f>
        <v>10.352671000000001</v>
      </c>
      <c r="G136">
        <f>VLOOKUP(B136, IAG.MC!$A$1:$G$256, 6, 0)</f>
        <v>1.609</v>
      </c>
      <c r="H136">
        <f>VLOOKUP(B136, IBEX35!$A$1:$G$256, 6, 0)</f>
        <v>8984.7998050000006</v>
      </c>
      <c r="J136" s="13">
        <f t="shared" si="11"/>
        <v>2.3238177723888268E-2</v>
      </c>
      <c r="K136" s="13">
        <f t="shared" si="12"/>
        <v>-2.2410576903309373E-2</v>
      </c>
      <c r="L136" s="13">
        <f t="shared" si="13"/>
        <v>-3.3778181117411995E-3</v>
      </c>
      <c r="M136" s="13">
        <f t="shared" si="14"/>
        <v>1.1461428208808973E-2</v>
      </c>
      <c r="N136" s="13">
        <f t="shared" si="15"/>
        <v>-1.2660351285233015E-2</v>
      </c>
      <c r="O136" s="13">
        <f t="shared" si="16"/>
        <v>1.0021937962786979E-3</v>
      </c>
    </row>
    <row r="137" spans="2:15" x14ac:dyDescent="0.2">
      <c r="B137" s="1">
        <v>45223</v>
      </c>
      <c r="C137" s="15">
        <f>VLOOKUP(B137, SAN.MC!$A$1:$G$256, 6, 0)</f>
        <v>3.3047659999999999</v>
      </c>
      <c r="D137" s="15">
        <f>VLOOKUP(B137, TEF.MC!$A$1:$G$256, 6, 0)</f>
        <v>3.5185170000000001</v>
      </c>
      <c r="E137">
        <f>VLOOKUP(B137, ACS.MC!$A$1:$G$256, 6, 0)</f>
        <v>31.869271999999999</v>
      </c>
      <c r="F137">
        <f>VLOOKUP(B137, IBE.MC!$A$1:$G$256, 6, 0)</f>
        <v>10.234692000000001</v>
      </c>
      <c r="G137">
        <f>VLOOKUP(B137, IAG.MC!$A$1:$G$256, 6, 0)</f>
        <v>1.6294999999999999</v>
      </c>
      <c r="H137">
        <f>VLOOKUP(B137, IBEX35!$A$1:$G$256, 6, 0)</f>
        <v>8975.7998050000006</v>
      </c>
      <c r="J137" s="13">
        <f t="shared" si="11"/>
        <v>-1.1759561224345053E-2</v>
      </c>
      <c r="K137" s="13">
        <f t="shared" si="12"/>
        <v>-8.7172870584379496E-3</v>
      </c>
      <c r="L137" s="13">
        <f t="shared" si="13"/>
        <v>6.4585488645389297E-3</v>
      </c>
      <c r="M137" s="13">
        <f t="shared" si="14"/>
        <v>1.1108506556949227E-2</v>
      </c>
      <c r="N137" s="13">
        <f t="shared" si="15"/>
        <v>1.5353910585783148E-3</v>
      </c>
      <c r="O137" s="13">
        <f t="shared" si="16"/>
        <v>-2.1924071274479293E-3</v>
      </c>
    </row>
    <row r="138" spans="2:15" x14ac:dyDescent="0.2">
      <c r="B138" s="1">
        <v>45222</v>
      </c>
      <c r="C138" s="15">
        <f>VLOOKUP(B138, SAN.MC!$A$1:$G$256, 6, 0)</f>
        <v>3.343858</v>
      </c>
      <c r="D138" s="15">
        <f>VLOOKUP(B138, TEF.MC!$A$1:$G$256, 6, 0)</f>
        <v>3.5493229999999998</v>
      </c>
      <c r="E138">
        <f>VLOOKUP(B138, ACS.MC!$A$1:$G$256, 6, 0)</f>
        <v>31.664106</v>
      </c>
      <c r="F138">
        <f>VLOOKUP(B138, IBE.MC!$A$1:$G$256, 6, 0)</f>
        <v>10.121629</v>
      </c>
      <c r="G138">
        <f>VLOOKUP(B138, IAG.MC!$A$1:$G$256, 6, 0)</f>
        <v>1.627</v>
      </c>
      <c r="H138">
        <f>VLOOKUP(B138, IBEX35!$A$1:$G$256, 6, 0)</f>
        <v>8995.5</v>
      </c>
      <c r="J138" s="13">
        <f t="shared" ref="J138:J201" si="17">LN(C138/C139)</f>
        <v>-1.0177534122101898E-2</v>
      </c>
      <c r="K138" s="13">
        <f t="shared" ref="K138:K201" si="18">LN(D138/D139)</f>
        <v>-1.3202322911054255E-2</v>
      </c>
      <c r="L138" s="13">
        <f t="shared" ref="L138:L201" si="19">LN(E138/E139)</f>
        <v>4.9489831364105726E-3</v>
      </c>
      <c r="M138" s="13">
        <f t="shared" ref="M138:M201" si="20">LN(F138/F139)</f>
        <v>-7.2586840482402985E-3</v>
      </c>
      <c r="N138" s="13">
        <f t="shared" ref="N138:N201" si="21">LN(G138/G139)</f>
        <v>2.5207496195787583E-2</v>
      </c>
      <c r="O138" s="13">
        <f t="shared" ref="O138:O201" si="22">LN(H138/H139)</f>
        <v>-3.7281990886802747E-3</v>
      </c>
    </row>
    <row r="139" spans="2:15" x14ac:dyDescent="0.2">
      <c r="B139" s="1">
        <v>45219</v>
      </c>
      <c r="C139" s="15">
        <f>VLOOKUP(B139, SAN.MC!$A$1:$G$256, 6, 0)</f>
        <v>3.3780640000000002</v>
      </c>
      <c r="D139" s="15">
        <f>VLOOKUP(B139, TEF.MC!$A$1:$G$256, 6, 0)</f>
        <v>3.5964930000000002</v>
      </c>
      <c r="E139">
        <f>VLOOKUP(B139, ACS.MC!$A$1:$G$256, 6, 0)</f>
        <v>31.507788000000001</v>
      </c>
      <c r="F139">
        <f>VLOOKUP(B139, IBE.MC!$A$1:$G$256, 6, 0)</f>
        <v>10.195366</v>
      </c>
      <c r="G139">
        <f>VLOOKUP(B139, IAG.MC!$A$1:$G$256, 6, 0)</f>
        <v>1.5865</v>
      </c>
      <c r="H139">
        <f>VLOOKUP(B139, IBEX35!$A$1:$G$256, 6, 0)</f>
        <v>9029.0996090000008</v>
      </c>
      <c r="J139" s="13">
        <f t="shared" si="17"/>
        <v>-1.4932079475772431E-2</v>
      </c>
      <c r="K139" s="13">
        <f t="shared" si="18"/>
        <v>-1.7511593670572215E-2</v>
      </c>
      <c r="L139" s="13">
        <f t="shared" si="19"/>
        <v>-8.0297138892083779E-3</v>
      </c>
      <c r="M139" s="13">
        <f t="shared" si="20"/>
        <v>-3.849822508708738E-3</v>
      </c>
      <c r="N139" s="13">
        <f t="shared" si="21"/>
        <v>-2.7049682777557715E-2</v>
      </c>
      <c r="O139" s="13">
        <f t="shared" si="22"/>
        <v>-1.2951418640654059E-2</v>
      </c>
    </row>
    <row r="140" spans="2:15" x14ac:dyDescent="0.2">
      <c r="B140" s="1">
        <v>45218</v>
      </c>
      <c r="C140" s="15">
        <f>VLOOKUP(B140, SAN.MC!$A$1:$G$256, 6, 0)</f>
        <v>3.428884</v>
      </c>
      <c r="D140" s="15">
        <f>VLOOKUP(B140, TEF.MC!$A$1:$G$256, 6, 0)</f>
        <v>3.6600280000000001</v>
      </c>
      <c r="E140">
        <f>VLOOKUP(B140, ACS.MC!$A$1:$G$256, 6, 0)</f>
        <v>31.761804999999999</v>
      </c>
      <c r="F140">
        <f>VLOOKUP(B140, IBE.MC!$A$1:$G$256, 6, 0)</f>
        <v>10.234692000000001</v>
      </c>
      <c r="G140">
        <f>VLOOKUP(B140, IAG.MC!$A$1:$G$256, 6, 0)</f>
        <v>1.63</v>
      </c>
      <c r="H140">
        <f>VLOOKUP(B140, IBEX35!$A$1:$G$256, 6, 0)</f>
        <v>9146.7998050000006</v>
      </c>
      <c r="J140" s="13">
        <f t="shared" si="17"/>
        <v>-7.12223021498913E-4</v>
      </c>
      <c r="K140" s="13">
        <f t="shared" si="18"/>
        <v>-1.20264788849155E-2</v>
      </c>
      <c r="L140" s="13">
        <f t="shared" si="19"/>
        <v>-7.3552100380716405E-3</v>
      </c>
      <c r="M140" s="13">
        <f t="shared" si="20"/>
        <v>2.8860255035961942E-3</v>
      </c>
      <c r="N140" s="13">
        <f t="shared" si="21"/>
        <v>-2.7569323634573416E-3</v>
      </c>
      <c r="O140" s="13">
        <f t="shared" si="22"/>
        <v>-7.1789180560158684E-3</v>
      </c>
    </row>
    <row r="141" spans="2:15" x14ac:dyDescent="0.2">
      <c r="B141" s="1">
        <v>45217</v>
      </c>
      <c r="C141" s="15">
        <f>VLOOKUP(B141, SAN.MC!$A$1:$G$256, 6, 0)</f>
        <v>3.431327</v>
      </c>
      <c r="D141" s="15">
        <f>VLOOKUP(B141, TEF.MC!$A$1:$G$256, 6, 0)</f>
        <v>3.7043110000000001</v>
      </c>
      <c r="E141">
        <f>VLOOKUP(B141, ACS.MC!$A$1:$G$256, 6, 0)</f>
        <v>31.996281</v>
      </c>
      <c r="F141">
        <f>VLOOKUP(B141, IBE.MC!$A$1:$G$256, 6, 0)</f>
        <v>10.205197</v>
      </c>
      <c r="G141">
        <f>VLOOKUP(B141, IAG.MC!$A$1:$G$256, 6, 0)</f>
        <v>1.6345000000000001</v>
      </c>
      <c r="H141">
        <f>VLOOKUP(B141, IBEX35!$A$1:$G$256, 6, 0)</f>
        <v>9212.7001949999994</v>
      </c>
      <c r="J141" s="13">
        <f t="shared" si="17"/>
        <v>-1.7224833464431245E-2</v>
      </c>
      <c r="K141" s="13">
        <f t="shared" si="18"/>
        <v>-5.1952981157749652E-4</v>
      </c>
      <c r="L141" s="13">
        <f t="shared" si="19"/>
        <v>-1.0932394282514593E-2</v>
      </c>
      <c r="M141" s="13">
        <f t="shared" si="20"/>
        <v>-9.1106691279439662E-3</v>
      </c>
      <c r="N141" s="13">
        <f t="shared" si="21"/>
        <v>-3.1021912397535385E-2</v>
      </c>
      <c r="O141" s="13">
        <f t="shared" si="22"/>
        <v>-9.2701087480595249E-3</v>
      </c>
    </row>
    <row r="142" spans="2:15" x14ac:dyDescent="0.2">
      <c r="B142" s="1">
        <v>45216</v>
      </c>
      <c r="C142" s="15">
        <f>VLOOKUP(B142, SAN.MC!$A$1:$G$256, 6, 0)</f>
        <v>3.4909430000000001</v>
      </c>
      <c r="D142" s="15">
        <f>VLOOKUP(B142, TEF.MC!$A$1:$G$256, 6, 0)</f>
        <v>3.7062360000000001</v>
      </c>
      <c r="E142">
        <f>VLOOKUP(B142, ACS.MC!$A$1:$G$256, 6, 0)</f>
        <v>32.347996000000002</v>
      </c>
      <c r="F142">
        <f>VLOOKUP(B142, IBE.MC!$A$1:$G$256, 6, 0)</f>
        <v>10.298598</v>
      </c>
      <c r="G142">
        <f>VLOOKUP(B142, IAG.MC!$A$1:$G$256, 6, 0)</f>
        <v>1.6859999999999999</v>
      </c>
      <c r="H142">
        <f>VLOOKUP(B142, IBEX35!$A$1:$G$256, 6, 0)</f>
        <v>9298.5</v>
      </c>
      <c r="J142" s="13">
        <f t="shared" si="17"/>
        <v>-1.1194144255852706E-3</v>
      </c>
      <c r="K142" s="13">
        <f t="shared" si="18"/>
        <v>7.795309821025621E-4</v>
      </c>
      <c r="L142" s="13">
        <f t="shared" si="19"/>
        <v>-6.0384270334413277E-4</v>
      </c>
      <c r="M142" s="13">
        <f t="shared" si="20"/>
        <v>-3.8113057621124544E-3</v>
      </c>
      <c r="N142" s="13">
        <f t="shared" si="21"/>
        <v>5.6505726555173639E-3</v>
      </c>
      <c r="O142" s="13">
        <f t="shared" si="22"/>
        <v>1.2267984536060953E-3</v>
      </c>
    </row>
    <row r="143" spans="2:15" x14ac:dyDescent="0.2">
      <c r="B143" s="1">
        <v>45215</v>
      </c>
      <c r="C143" s="15">
        <f>VLOOKUP(B143, SAN.MC!$A$1:$G$256, 6, 0)</f>
        <v>3.494853</v>
      </c>
      <c r="D143" s="15">
        <f>VLOOKUP(B143, TEF.MC!$A$1:$G$256, 6, 0)</f>
        <v>3.7033480000000001</v>
      </c>
      <c r="E143">
        <f>VLOOKUP(B143, ACS.MC!$A$1:$G$256, 6, 0)</f>
        <v>32.367534999999997</v>
      </c>
      <c r="F143">
        <f>VLOOKUP(B143, IBE.MC!$A$1:$G$256, 6, 0)</f>
        <v>10.337923999999999</v>
      </c>
      <c r="G143">
        <f>VLOOKUP(B143, IAG.MC!$A$1:$G$256, 6, 0)</f>
        <v>1.6765000000000001</v>
      </c>
      <c r="H143">
        <f>VLOOKUP(B143, IBEX35!$A$1:$G$256, 6, 0)</f>
        <v>9287.0996090000008</v>
      </c>
      <c r="J143" s="13">
        <f t="shared" si="17"/>
        <v>1.7774659715990831E-2</v>
      </c>
      <c r="K143" s="13">
        <f t="shared" si="18"/>
        <v>1.5608873417645623E-3</v>
      </c>
      <c r="L143" s="13">
        <f t="shared" si="19"/>
        <v>-2.1106905523213806E-3</v>
      </c>
      <c r="M143" s="13">
        <f t="shared" si="20"/>
        <v>-4.2705475801633067E-3</v>
      </c>
      <c r="N143" s="13">
        <f t="shared" si="21"/>
        <v>3.2860373108894521E-3</v>
      </c>
      <c r="O143" s="13">
        <f t="shared" si="22"/>
        <v>5.8530640098559744E-3</v>
      </c>
    </row>
    <row r="144" spans="2:15" x14ac:dyDescent="0.2">
      <c r="B144" s="1">
        <v>45212</v>
      </c>
      <c r="C144" s="15">
        <f>VLOOKUP(B144, SAN.MC!$A$1:$G$256, 6, 0)</f>
        <v>3.4332820000000002</v>
      </c>
      <c r="D144" s="15">
        <f>VLOOKUP(B144, TEF.MC!$A$1:$G$256, 6, 0)</f>
        <v>3.6975720000000001</v>
      </c>
      <c r="E144">
        <f>VLOOKUP(B144, ACS.MC!$A$1:$G$256, 6, 0)</f>
        <v>32.435924999999997</v>
      </c>
      <c r="F144">
        <f>VLOOKUP(B144, IBE.MC!$A$1:$G$256, 6, 0)</f>
        <v>10.382167000000001</v>
      </c>
      <c r="G144">
        <f>VLOOKUP(B144, IAG.MC!$A$1:$G$256, 6, 0)</f>
        <v>1.671</v>
      </c>
      <c r="H144">
        <f>VLOOKUP(B144, IBEX35!$A$1:$G$256, 6, 0)</f>
        <v>9232.9003909999992</v>
      </c>
      <c r="J144" s="13">
        <f t="shared" si="17"/>
        <v>-2.0845890632922508E-2</v>
      </c>
      <c r="K144" s="13">
        <f t="shared" si="18"/>
        <v>-1.3008185530495912E-3</v>
      </c>
      <c r="L144" s="13">
        <f t="shared" si="19"/>
        <v>-1.257116099852456E-2</v>
      </c>
      <c r="M144" s="13">
        <f t="shared" si="20"/>
        <v>-1.8920332611191311E-3</v>
      </c>
      <c r="N144" s="13">
        <f t="shared" si="21"/>
        <v>-2.4532041540986593E-2</v>
      </c>
      <c r="O144" s="13">
        <f t="shared" si="22"/>
        <v>-1.1104660619770055E-2</v>
      </c>
    </row>
    <row r="145" spans="2:15" x14ac:dyDescent="0.2">
      <c r="B145" s="1">
        <v>45211</v>
      </c>
      <c r="C145" s="15">
        <f>VLOOKUP(B145, SAN.MC!$A$1:$G$256, 6, 0)</f>
        <v>3.5056029999999998</v>
      </c>
      <c r="D145" s="15">
        <f>VLOOKUP(B145, TEF.MC!$A$1:$G$256, 6, 0)</f>
        <v>3.702385</v>
      </c>
      <c r="E145">
        <f>VLOOKUP(B145, ACS.MC!$A$1:$G$256, 6, 0)</f>
        <v>32.846255999999997</v>
      </c>
      <c r="F145">
        <f>VLOOKUP(B145, IBE.MC!$A$1:$G$256, 6, 0)</f>
        <v>10.401828999999999</v>
      </c>
      <c r="G145">
        <f>VLOOKUP(B145, IAG.MC!$A$1:$G$256, 6, 0)</f>
        <v>1.7124999999999999</v>
      </c>
      <c r="H145">
        <f>VLOOKUP(B145, IBEX35!$A$1:$G$256, 6, 0)</f>
        <v>9336</v>
      </c>
      <c r="J145" s="13">
        <f t="shared" si="17"/>
        <v>-6.5301440879186046E-3</v>
      </c>
      <c r="K145" s="13">
        <f t="shared" si="18"/>
        <v>-5.4454109286008051E-3</v>
      </c>
      <c r="L145" s="13">
        <f t="shared" si="19"/>
        <v>2.6805765277426946E-3</v>
      </c>
      <c r="M145" s="13">
        <f t="shared" si="20"/>
        <v>-5.1850432392903569E-3</v>
      </c>
      <c r="N145" s="13">
        <f t="shared" si="21"/>
        <v>-1.1033793706096327E-2</v>
      </c>
      <c r="O145" s="13">
        <f t="shared" si="22"/>
        <v>-2.610171406583124E-3</v>
      </c>
    </row>
    <row r="146" spans="2:15" x14ac:dyDescent="0.2">
      <c r="B146" s="1">
        <v>45210</v>
      </c>
      <c r="C146" s="15">
        <f>VLOOKUP(B146, SAN.MC!$A$1:$G$256, 6, 0)</f>
        <v>3.5285700000000002</v>
      </c>
      <c r="D146" s="15">
        <f>VLOOKUP(B146, TEF.MC!$A$1:$G$256, 6, 0)</f>
        <v>3.722601</v>
      </c>
      <c r="E146">
        <f>VLOOKUP(B146, ACS.MC!$A$1:$G$256, 6, 0)</f>
        <v>32.758327000000001</v>
      </c>
      <c r="F146">
        <f>VLOOKUP(B146, IBE.MC!$A$1:$G$256, 6, 0)</f>
        <v>10.455902999999999</v>
      </c>
      <c r="G146">
        <f>VLOOKUP(B146, IAG.MC!$A$1:$G$256, 6, 0)</f>
        <v>1.7315</v>
      </c>
      <c r="H146">
        <f>VLOOKUP(B146, IBEX35!$A$1:$G$256, 6, 0)</f>
        <v>9360.4003909999992</v>
      </c>
      <c r="J146" s="13">
        <f t="shared" si="17"/>
        <v>9.699848457890277E-4</v>
      </c>
      <c r="K146" s="13">
        <f t="shared" si="18"/>
        <v>3.1080315320800938E-3</v>
      </c>
      <c r="L146" s="13">
        <f t="shared" si="19"/>
        <v>2.6876282918970496E-3</v>
      </c>
      <c r="M146" s="13">
        <f t="shared" si="20"/>
        <v>1.2299041157368852E-2</v>
      </c>
      <c r="N146" s="13">
        <f t="shared" si="21"/>
        <v>-2.8835083416519905E-3</v>
      </c>
      <c r="O146" s="13">
        <f t="shared" si="22"/>
        <v>8.8719118711720786E-4</v>
      </c>
    </row>
    <row r="147" spans="2:15" x14ac:dyDescent="0.2">
      <c r="B147" s="1">
        <v>45209</v>
      </c>
      <c r="C147" s="15">
        <f>VLOOKUP(B147, SAN.MC!$A$1:$G$256, 6, 0)</f>
        <v>3.5251489999999999</v>
      </c>
      <c r="D147" s="15">
        <f>VLOOKUP(B147, TEF.MC!$A$1:$G$256, 6, 0)</f>
        <v>3.711049</v>
      </c>
      <c r="E147">
        <f>VLOOKUP(B147, ACS.MC!$A$1:$G$256, 6, 0)</f>
        <v>32.670403</v>
      </c>
      <c r="F147">
        <f>VLOOKUP(B147, IBE.MC!$A$1:$G$256, 6, 0)</f>
        <v>10.328093000000001</v>
      </c>
      <c r="G147">
        <f>VLOOKUP(B147, IAG.MC!$A$1:$G$256, 6, 0)</f>
        <v>1.7364999999999999</v>
      </c>
      <c r="H147">
        <f>VLOOKUP(B147, IBEX35!$A$1:$G$256, 6, 0)</f>
        <v>9352.0996090000008</v>
      </c>
      <c r="J147" s="13">
        <f t="shared" si="17"/>
        <v>2.6548489333061781E-2</v>
      </c>
      <c r="K147" s="13">
        <f t="shared" si="18"/>
        <v>1.0692498847941691E-2</v>
      </c>
      <c r="L147" s="13">
        <f t="shared" si="19"/>
        <v>1.6584154324723495E-2</v>
      </c>
      <c r="M147" s="13">
        <f t="shared" si="20"/>
        <v>2.5549880627884953E-2</v>
      </c>
      <c r="N147" s="13">
        <f t="shared" si="21"/>
        <v>1.8013270325428179E-2</v>
      </c>
      <c r="O147" s="13">
        <f t="shared" si="22"/>
        <v>2.170495081391715E-2</v>
      </c>
    </row>
    <row r="148" spans="2:15" x14ac:dyDescent="0.2">
      <c r="B148" s="1">
        <v>45208</v>
      </c>
      <c r="C148" s="15">
        <f>VLOOKUP(B148, SAN.MC!$A$1:$G$256, 6, 0)</f>
        <v>3.4327930000000002</v>
      </c>
      <c r="D148" s="15">
        <f>VLOOKUP(B148, TEF.MC!$A$1:$G$256, 6, 0)</f>
        <v>3.6715800000000001</v>
      </c>
      <c r="E148">
        <f>VLOOKUP(B148, ACS.MC!$A$1:$G$256, 6, 0)</f>
        <v>32.13306</v>
      </c>
      <c r="F148">
        <f>VLOOKUP(B148, IBE.MC!$A$1:$G$256, 6, 0)</f>
        <v>10.067553999999999</v>
      </c>
      <c r="G148">
        <f>VLOOKUP(B148, IAG.MC!$A$1:$G$256, 6, 0)</f>
        <v>1.7055</v>
      </c>
      <c r="H148">
        <f>VLOOKUP(B148, IBEX35!$A$1:$G$256, 6, 0)</f>
        <v>9151.2998050000006</v>
      </c>
      <c r="J148" s="13">
        <f t="shared" si="17"/>
        <v>-2.7241269657111274E-2</v>
      </c>
      <c r="K148" s="13">
        <f t="shared" si="18"/>
        <v>6.8402977731570787E-3</v>
      </c>
      <c r="L148" s="13">
        <f t="shared" si="19"/>
        <v>-9.1169784496247287E-4</v>
      </c>
      <c r="M148" s="13">
        <f t="shared" si="20"/>
        <v>9.8135254498941983E-3</v>
      </c>
      <c r="N148" s="13">
        <f t="shared" si="21"/>
        <v>-5.8639449533452195E-2</v>
      </c>
      <c r="O148" s="13">
        <f t="shared" si="22"/>
        <v>-9.1912913586498484E-3</v>
      </c>
    </row>
    <row r="149" spans="2:15" x14ac:dyDescent="0.2">
      <c r="B149" s="1">
        <v>45205</v>
      </c>
      <c r="C149" s="15">
        <f>VLOOKUP(B149, SAN.MC!$A$1:$G$256, 6, 0)</f>
        <v>3.5275919999999998</v>
      </c>
      <c r="D149" s="15">
        <f>VLOOKUP(B149, TEF.MC!$A$1:$G$256, 6, 0)</f>
        <v>3.6465510000000001</v>
      </c>
      <c r="E149">
        <f>VLOOKUP(B149, ACS.MC!$A$1:$G$256, 6, 0)</f>
        <v>32.162368999999998</v>
      </c>
      <c r="F149">
        <f>VLOOKUP(B149, IBE.MC!$A$1:$G$256, 6, 0)</f>
        <v>9.969239</v>
      </c>
      <c r="G149">
        <f>VLOOKUP(B149, IAG.MC!$A$1:$G$256, 6, 0)</f>
        <v>1.8085</v>
      </c>
      <c r="H149">
        <f>VLOOKUP(B149, IBEX35!$A$1:$G$256, 6, 0)</f>
        <v>9235.7998050000006</v>
      </c>
      <c r="J149" s="13">
        <f t="shared" si="17"/>
        <v>1.6480776163657947E-2</v>
      </c>
      <c r="K149" s="13">
        <f t="shared" si="18"/>
        <v>7.9229502757374422E-4</v>
      </c>
      <c r="L149" s="13">
        <f t="shared" si="19"/>
        <v>2.7407467586928521E-2</v>
      </c>
      <c r="M149" s="13">
        <f t="shared" si="20"/>
        <v>4.9323849893621223E-4</v>
      </c>
      <c r="N149" s="13">
        <f t="shared" si="21"/>
        <v>1.223937392868819E-2</v>
      </c>
      <c r="O149" s="13">
        <f t="shared" si="22"/>
        <v>8.4921390007147973E-3</v>
      </c>
    </row>
    <row r="150" spans="2:15" x14ac:dyDescent="0.2">
      <c r="B150" s="1">
        <v>45204</v>
      </c>
      <c r="C150" s="15">
        <f>VLOOKUP(B150, SAN.MC!$A$1:$G$256, 6, 0)</f>
        <v>3.4699309999999999</v>
      </c>
      <c r="D150" s="15">
        <f>VLOOKUP(B150, TEF.MC!$A$1:$G$256, 6, 0)</f>
        <v>3.6436630000000001</v>
      </c>
      <c r="E150">
        <f>VLOOKUP(B150, ACS.MC!$A$1:$G$256, 6, 0)</f>
        <v>31.292850000000001</v>
      </c>
      <c r="F150">
        <f>VLOOKUP(B150, IBE.MC!$A$1:$G$256, 6, 0)</f>
        <v>9.9643230000000003</v>
      </c>
      <c r="G150">
        <f>VLOOKUP(B150, IAG.MC!$A$1:$G$256, 6, 0)</f>
        <v>1.7865</v>
      </c>
      <c r="H150">
        <f>VLOOKUP(B150, IBEX35!$A$1:$G$256, 6, 0)</f>
        <v>9157.7001949999994</v>
      </c>
      <c r="J150" s="13">
        <f t="shared" si="17"/>
        <v>7.9172950037055042E-3</v>
      </c>
      <c r="K150" s="13">
        <f t="shared" si="18"/>
        <v>1.2495189897146163E-2</v>
      </c>
      <c r="L150" s="13">
        <f t="shared" si="19"/>
        <v>-4.0684678327854468E-2</v>
      </c>
      <c r="M150" s="13">
        <f t="shared" si="20"/>
        <v>1.1910794803048009E-2</v>
      </c>
      <c r="N150" s="13">
        <f t="shared" si="21"/>
        <v>2.4077072994539536E-2</v>
      </c>
      <c r="O150" s="13">
        <f t="shared" si="22"/>
        <v>6.0019897210151548E-3</v>
      </c>
    </row>
    <row r="151" spans="2:15" x14ac:dyDescent="0.2">
      <c r="B151" s="1">
        <v>45203</v>
      </c>
      <c r="C151" s="15">
        <f>VLOOKUP(B151, SAN.MC!$A$1:$G$256, 6, 0)</f>
        <v>3.4425669999999999</v>
      </c>
      <c r="D151" s="15">
        <f>VLOOKUP(B151, TEF.MC!$A$1:$G$256, 6, 0)</f>
        <v>3.5984180000000001</v>
      </c>
      <c r="E151">
        <f>VLOOKUP(B151, ACS.MC!$A$1:$G$256, 6, 0)</f>
        <v>32.592243000000003</v>
      </c>
      <c r="F151">
        <f>VLOOKUP(B151, IBE.MC!$A$1:$G$256, 6, 0)</f>
        <v>9.8463440000000002</v>
      </c>
      <c r="G151">
        <f>VLOOKUP(B151, IAG.MC!$A$1:$G$256, 6, 0)</f>
        <v>1.744</v>
      </c>
      <c r="H151">
        <f>VLOOKUP(B151, IBEX35!$A$1:$G$256, 6, 0)</f>
        <v>9102.9003909999992</v>
      </c>
      <c r="J151" s="13">
        <f t="shared" si="17"/>
        <v>-9.183952815487003E-3</v>
      </c>
      <c r="K151" s="13">
        <f t="shared" si="18"/>
        <v>-9.8498471065854663E-3</v>
      </c>
      <c r="L151" s="13">
        <f t="shared" si="19"/>
        <v>-2.6942178618123685E-3</v>
      </c>
      <c r="M151" s="13">
        <f t="shared" si="20"/>
        <v>1.2357656655724556E-2</v>
      </c>
      <c r="N151" s="13">
        <f t="shared" si="21"/>
        <v>4.0069697291559861E-2</v>
      </c>
      <c r="O151" s="13">
        <f t="shared" si="22"/>
        <v>-6.8533481505590171E-3</v>
      </c>
    </row>
    <row r="152" spans="2:15" x14ac:dyDescent="0.2">
      <c r="B152" s="1">
        <v>45202</v>
      </c>
      <c r="C152" s="15">
        <f>VLOOKUP(B152, SAN.MC!$A$1:$G$256, 6, 0)</f>
        <v>3.474329</v>
      </c>
      <c r="D152" s="15">
        <f>VLOOKUP(B152, TEF.MC!$A$1:$G$256, 6, 0)</f>
        <v>3.6340370000000002</v>
      </c>
      <c r="E152">
        <f>VLOOKUP(B152, ACS.MC!$A$1:$G$256, 6, 0)</f>
        <v>32.680171999999999</v>
      </c>
      <c r="F152">
        <f>VLOOKUP(B152, IBE.MC!$A$1:$G$256, 6, 0)</f>
        <v>9.7254149999999999</v>
      </c>
      <c r="G152">
        <f>VLOOKUP(B152, IAG.MC!$A$1:$G$256, 6, 0)</f>
        <v>1.6755</v>
      </c>
      <c r="H152">
        <f>VLOOKUP(B152, IBEX35!$A$1:$G$256, 6, 0)</f>
        <v>9165.5</v>
      </c>
      <c r="J152" s="13">
        <f t="shared" si="17"/>
        <v>-4.9106003977051867E-3</v>
      </c>
      <c r="K152" s="13">
        <f t="shared" si="18"/>
        <v>-1.2634902790430683E-2</v>
      </c>
      <c r="L152" s="13">
        <f t="shared" si="19"/>
        <v>-8.0392208397244147E-3</v>
      </c>
      <c r="M152" s="13">
        <f t="shared" si="20"/>
        <v>-3.7013746418626196E-2</v>
      </c>
      <c r="N152" s="13">
        <f t="shared" si="21"/>
        <v>-1.8918684267580085E-2</v>
      </c>
      <c r="O152" s="13">
        <f t="shared" si="22"/>
        <v>-1.6608891626236098E-2</v>
      </c>
    </row>
    <row r="153" spans="2:15" x14ac:dyDescent="0.2">
      <c r="B153" s="1">
        <v>45201</v>
      </c>
      <c r="C153" s="15">
        <f>VLOOKUP(B153, SAN.MC!$A$1:$G$256, 6, 0)</f>
        <v>3.4914320000000001</v>
      </c>
      <c r="D153" s="15">
        <f>VLOOKUP(B153, TEF.MC!$A$1:$G$256, 6, 0)</f>
        <v>3.6802440000000001</v>
      </c>
      <c r="E153">
        <f>VLOOKUP(B153, ACS.MC!$A$1:$G$256, 6, 0)</f>
        <v>32.943953999999998</v>
      </c>
      <c r="F153">
        <f>VLOOKUP(B153, IBE.MC!$A$1:$G$256, 6, 0)</f>
        <v>10.092134</v>
      </c>
      <c r="G153">
        <f>VLOOKUP(B153, IAG.MC!$A$1:$G$256, 6, 0)</f>
        <v>1.7075</v>
      </c>
      <c r="H153">
        <f>VLOOKUP(B153, IBEX35!$A$1:$G$256, 6, 0)</f>
        <v>9319</v>
      </c>
      <c r="J153" s="13">
        <f t="shared" si="17"/>
        <v>-1.2793900018126305E-2</v>
      </c>
      <c r="K153" s="13">
        <f t="shared" si="18"/>
        <v>-1.1702219819667519E-2</v>
      </c>
      <c r="L153" s="13">
        <f t="shared" si="19"/>
        <v>-1.032612991839308E-2</v>
      </c>
      <c r="M153" s="13">
        <f t="shared" si="20"/>
        <v>-3.1642170942753581E-2</v>
      </c>
      <c r="N153" s="13">
        <f t="shared" si="21"/>
        <v>5.8582309818352063E-4</v>
      </c>
      <c r="O153" s="13">
        <f t="shared" si="22"/>
        <v>-1.162865827036628E-2</v>
      </c>
    </row>
    <row r="154" spans="2:15" x14ac:dyDescent="0.2">
      <c r="B154" s="1">
        <v>45198</v>
      </c>
      <c r="C154" s="15">
        <f>VLOOKUP(B154, SAN.MC!$A$1:$G$256, 6, 0)</f>
        <v>3.5363880000000001</v>
      </c>
      <c r="D154" s="15">
        <f>VLOOKUP(B154, TEF.MC!$A$1:$G$256, 6, 0)</f>
        <v>3.7235640000000001</v>
      </c>
      <c r="E154">
        <f>VLOOKUP(B154, ACS.MC!$A$1:$G$256, 6, 0)</f>
        <v>33.285899999999998</v>
      </c>
      <c r="F154">
        <f>VLOOKUP(B154, IBE.MC!$A$1:$G$256, 6, 0)</f>
        <v>10.416577</v>
      </c>
      <c r="G154">
        <f>VLOOKUP(B154, IAG.MC!$A$1:$G$256, 6, 0)</f>
        <v>1.7064999999999999</v>
      </c>
      <c r="H154">
        <f>VLOOKUP(B154, IBEX35!$A$1:$G$256, 6, 0)</f>
        <v>9428</v>
      </c>
      <c r="J154" s="13">
        <f t="shared" si="17"/>
        <v>-8.6675380783823915E-3</v>
      </c>
      <c r="K154" s="13">
        <f t="shared" si="18"/>
        <v>0</v>
      </c>
      <c r="L154" s="13">
        <f t="shared" si="19"/>
        <v>3.8229076209852332E-3</v>
      </c>
      <c r="M154" s="13">
        <f t="shared" si="20"/>
        <v>2.3624887925977854E-3</v>
      </c>
      <c r="N154" s="13">
        <f t="shared" si="21"/>
        <v>2.930402951373075E-4</v>
      </c>
      <c r="O154" s="13">
        <f t="shared" si="22"/>
        <v>1.2730922778639094E-4</v>
      </c>
    </row>
    <row r="155" spans="2:15" x14ac:dyDescent="0.2">
      <c r="B155" s="1">
        <v>45197</v>
      </c>
      <c r="C155" s="15">
        <f>VLOOKUP(B155, SAN.MC!$A$1:$G$256, 6, 0)</f>
        <v>3.5671729999999999</v>
      </c>
      <c r="D155" s="15">
        <f>VLOOKUP(B155, TEF.MC!$A$1:$G$256, 6, 0)</f>
        <v>3.7235640000000001</v>
      </c>
      <c r="E155">
        <f>VLOOKUP(B155, ACS.MC!$A$1:$G$256, 6, 0)</f>
        <v>33.158893999999997</v>
      </c>
      <c r="F155">
        <f>VLOOKUP(B155, IBE.MC!$A$1:$G$256, 6, 0)</f>
        <v>10.391997</v>
      </c>
      <c r="G155">
        <f>VLOOKUP(B155, IAG.MC!$A$1:$G$256, 6, 0)</f>
        <v>1.706</v>
      </c>
      <c r="H155">
        <f>VLOOKUP(B155, IBEX35!$A$1:$G$256, 6, 0)</f>
        <v>9426.7998050000006</v>
      </c>
      <c r="J155" s="13">
        <f t="shared" si="17"/>
        <v>4.3536763262150162E-2</v>
      </c>
      <c r="K155" s="13">
        <f t="shared" si="18"/>
        <v>7.7590194429174014E-4</v>
      </c>
      <c r="L155" s="13">
        <f t="shared" si="19"/>
        <v>4.133396894397021E-3</v>
      </c>
      <c r="M155" s="13">
        <f t="shared" si="20"/>
        <v>-5.6604330268337768E-3</v>
      </c>
      <c r="N155" s="13">
        <f t="shared" si="21"/>
        <v>-6.427132845851208E-3</v>
      </c>
      <c r="O155" s="13">
        <f t="shared" si="22"/>
        <v>1.0117995661584165E-2</v>
      </c>
    </row>
    <row r="156" spans="2:15" x14ac:dyDescent="0.2">
      <c r="B156" s="1">
        <v>45196</v>
      </c>
      <c r="C156" s="15">
        <f>VLOOKUP(B156, SAN.MC!$A$1:$G$256, 6, 0)</f>
        <v>3.4152019999999998</v>
      </c>
      <c r="D156" s="15">
        <f>VLOOKUP(B156, TEF.MC!$A$1:$G$256, 6, 0)</f>
        <v>3.7206760000000001</v>
      </c>
      <c r="E156">
        <f>VLOOKUP(B156, ACS.MC!$A$1:$G$256, 6, 0)</f>
        <v>33.022117999999999</v>
      </c>
      <c r="F156">
        <f>VLOOKUP(B156, IBE.MC!$A$1:$G$256, 6, 0)</f>
        <v>10.450987</v>
      </c>
      <c r="G156">
        <f>VLOOKUP(B156, IAG.MC!$A$1:$G$256, 6, 0)</f>
        <v>1.7170000000000001</v>
      </c>
      <c r="H156">
        <f>VLOOKUP(B156, IBEX35!$A$1:$G$256, 6, 0)</f>
        <v>9331.9003909999992</v>
      </c>
      <c r="J156" s="13">
        <f t="shared" si="17"/>
        <v>1.7319108306544619E-2</v>
      </c>
      <c r="K156" s="13">
        <f t="shared" si="18"/>
        <v>-1.7186484564688322E-2</v>
      </c>
      <c r="L156" s="13">
        <f t="shared" si="19"/>
        <v>-2.3639507045620824E-3</v>
      </c>
      <c r="M156" s="13">
        <f t="shared" si="20"/>
        <v>-1.7253910890082783E-2</v>
      </c>
      <c r="N156" s="13">
        <f t="shared" si="21"/>
        <v>6.1340925507138789E-3</v>
      </c>
      <c r="O156" s="13">
        <f t="shared" si="22"/>
        <v>-3.7435599515614512E-3</v>
      </c>
    </row>
    <row r="157" spans="2:15" x14ac:dyDescent="0.2">
      <c r="B157" s="1">
        <v>45195</v>
      </c>
      <c r="C157" s="15">
        <f>VLOOKUP(B157, SAN.MC!$A$1:$G$256, 6, 0)</f>
        <v>3.356563</v>
      </c>
      <c r="D157" s="15">
        <f>VLOOKUP(B157, TEF.MC!$A$1:$G$256, 6, 0)</f>
        <v>3.785174</v>
      </c>
      <c r="E157">
        <f>VLOOKUP(B157, ACS.MC!$A$1:$G$256, 6, 0)</f>
        <v>33.100273000000001</v>
      </c>
      <c r="F157">
        <f>VLOOKUP(B157, IBE.MC!$A$1:$G$256, 6, 0)</f>
        <v>10.632872000000001</v>
      </c>
      <c r="G157">
        <f>VLOOKUP(B157, IAG.MC!$A$1:$G$256, 6, 0)</f>
        <v>1.7064999999999999</v>
      </c>
      <c r="H157">
        <f>VLOOKUP(B157, IBEX35!$A$1:$G$256, 6, 0)</f>
        <v>9366.9003909999992</v>
      </c>
      <c r="J157" s="13">
        <f t="shared" si="17"/>
        <v>-4.5030934672225433E-3</v>
      </c>
      <c r="K157" s="13">
        <f t="shared" si="18"/>
        <v>-8.3577216974907702E-3</v>
      </c>
      <c r="L157" s="13">
        <f t="shared" si="19"/>
        <v>1.4768179688901238E-3</v>
      </c>
      <c r="M157" s="13">
        <f t="shared" si="20"/>
        <v>4.1695506845973902E-3</v>
      </c>
      <c r="N157" s="13">
        <f t="shared" si="21"/>
        <v>5.582503112535323E-3</v>
      </c>
      <c r="O157" s="13">
        <f t="shared" si="22"/>
        <v>-2.0369772361502085E-3</v>
      </c>
    </row>
    <row r="158" spans="2:15" x14ac:dyDescent="0.2">
      <c r="B158" s="1">
        <v>45194</v>
      </c>
      <c r="C158" s="15">
        <f>VLOOKUP(B158, SAN.MC!$A$1:$G$256, 6, 0)</f>
        <v>3.371712</v>
      </c>
      <c r="D158" s="15">
        <f>VLOOKUP(B158, TEF.MC!$A$1:$G$256, 6, 0)</f>
        <v>3.8169420000000001</v>
      </c>
      <c r="E158">
        <f>VLOOKUP(B158, ACS.MC!$A$1:$G$256, 6, 0)</f>
        <v>33.051425999999999</v>
      </c>
      <c r="F158">
        <f>VLOOKUP(B158, IBE.MC!$A$1:$G$256, 6, 0)</f>
        <v>10.58863</v>
      </c>
      <c r="G158">
        <f>VLOOKUP(B158, IAG.MC!$A$1:$G$256, 6, 0)</f>
        <v>1.6970000000000001</v>
      </c>
      <c r="H158">
        <f>VLOOKUP(B158, IBEX35!$A$1:$G$256, 6, 0)</f>
        <v>9386</v>
      </c>
      <c r="J158" s="13">
        <f t="shared" si="17"/>
        <v>-9.2326542539001803E-3</v>
      </c>
      <c r="K158" s="13">
        <f t="shared" si="18"/>
        <v>-1.9233577610884012E-2</v>
      </c>
      <c r="L158" s="13">
        <f t="shared" si="19"/>
        <v>-6.7757312255928483E-3</v>
      </c>
      <c r="M158" s="13">
        <f t="shared" si="20"/>
        <v>-1.7487758469143053E-2</v>
      </c>
      <c r="N158" s="13">
        <f t="shared" si="21"/>
        <v>-3.0753801683333384E-2</v>
      </c>
      <c r="O158" s="13">
        <f t="shared" si="22"/>
        <v>-1.2283085392503701E-2</v>
      </c>
    </row>
    <row r="159" spans="2:15" x14ac:dyDescent="0.2">
      <c r="B159" s="1">
        <v>45191</v>
      </c>
      <c r="C159" s="15">
        <f>VLOOKUP(B159, SAN.MC!$A$1:$G$256, 6, 0)</f>
        <v>3.4029859999999998</v>
      </c>
      <c r="D159" s="15">
        <f>VLOOKUP(B159, TEF.MC!$A$1:$G$256, 6, 0)</f>
        <v>3.8910659999999999</v>
      </c>
      <c r="E159">
        <f>VLOOKUP(B159, ACS.MC!$A$1:$G$256, 6, 0)</f>
        <v>33.276133999999999</v>
      </c>
      <c r="F159">
        <f>VLOOKUP(B159, IBE.MC!$A$1:$G$256, 6, 0)</f>
        <v>10.77543</v>
      </c>
      <c r="G159">
        <f>VLOOKUP(B159, IAG.MC!$A$1:$G$256, 6, 0)</f>
        <v>1.75</v>
      </c>
      <c r="H159">
        <f>VLOOKUP(B159, IBEX35!$A$1:$G$256, 6, 0)</f>
        <v>9502</v>
      </c>
      <c r="J159" s="13">
        <f t="shared" si="17"/>
        <v>-7.011243355587329E-3</v>
      </c>
      <c r="K159" s="13">
        <f t="shared" si="18"/>
        <v>-9.3573627577067248E-3</v>
      </c>
      <c r="L159" s="13">
        <f t="shared" si="19"/>
        <v>-2.9317064770971995E-3</v>
      </c>
      <c r="M159" s="13">
        <f t="shared" si="20"/>
        <v>-4.5516707319461546E-3</v>
      </c>
      <c r="N159" s="13">
        <f t="shared" si="21"/>
        <v>-3.7074047883219156E-3</v>
      </c>
      <c r="O159" s="13">
        <f t="shared" si="22"/>
        <v>-4.9237027948603688E-3</v>
      </c>
    </row>
    <row r="160" spans="2:15" x14ac:dyDescent="0.2">
      <c r="B160" s="1">
        <v>45190</v>
      </c>
      <c r="C160" s="15">
        <f>VLOOKUP(B160, SAN.MC!$A$1:$G$256, 6, 0)</f>
        <v>3.4269289999999999</v>
      </c>
      <c r="D160" s="15">
        <f>VLOOKUP(B160, TEF.MC!$A$1:$G$256, 6, 0)</f>
        <v>3.9276469999999999</v>
      </c>
      <c r="E160">
        <f>VLOOKUP(B160, ACS.MC!$A$1:$G$256, 6, 0)</f>
        <v>33.373832999999998</v>
      </c>
      <c r="F160">
        <f>VLOOKUP(B160, IBE.MC!$A$1:$G$256, 6, 0)</f>
        <v>10.824588</v>
      </c>
      <c r="G160">
        <f>VLOOKUP(B160, IAG.MC!$A$1:$G$256, 6, 0)</f>
        <v>1.7565</v>
      </c>
      <c r="H160">
        <f>VLOOKUP(B160, IBEX35!$A$1:$G$256, 6, 0)</f>
        <v>9548.9003909999992</v>
      </c>
      <c r="J160" s="13">
        <f t="shared" si="17"/>
        <v>-4.6946338208416543E-3</v>
      </c>
      <c r="K160" s="13">
        <f t="shared" si="18"/>
        <v>-2.2037255043496438E-3</v>
      </c>
      <c r="L160" s="13">
        <f t="shared" si="19"/>
        <v>-5.8376939764926798E-3</v>
      </c>
      <c r="M160" s="13">
        <f t="shared" si="20"/>
        <v>-2.2452679360973629E-2</v>
      </c>
      <c r="N160" s="13">
        <f t="shared" si="21"/>
        <v>-2.4741211383048245E-2</v>
      </c>
      <c r="O160" s="13">
        <f t="shared" si="22"/>
        <v>-1.0096561673187385E-2</v>
      </c>
    </row>
    <row r="161" spans="2:15" x14ac:dyDescent="0.2">
      <c r="B161" s="1">
        <v>45189</v>
      </c>
      <c r="C161" s="15">
        <f>VLOOKUP(B161, SAN.MC!$A$1:$G$256, 6, 0)</f>
        <v>3.4430550000000002</v>
      </c>
      <c r="D161" s="15">
        <f>VLOOKUP(B161, TEF.MC!$A$1:$G$256, 6, 0)</f>
        <v>3.936312</v>
      </c>
      <c r="E161">
        <f>VLOOKUP(B161, ACS.MC!$A$1:$G$256, 6, 0)</f>
        <v>33.569229</v>
      </c>
      <c r="F161">
        <f>VLOOKUP(B161, IBE.MC!$A$1:$G$256, 6, 0)</f>
        <v>11.070378</v>
      </c>
      <c r="G161">
        <f>VLOOKUP(B161, IAG.MC!$A$1:$G$256, 6, 0)</f>
        <v>1.8005</v>
      </c>
      <c r="H161">
        <f>VLOOKUP(B161, IBEX35!$A$1:$G$256, 6, 0)</f>
        <v>9645.7998050000006</v>
      </c>
      <c r="J161" s="13">
        <f t="shared" si="17"/>
        <v>1.6888863214819746E-2</v>
      </c>
      <c r="K161" s="13">
        <f t="shared" si="18"/>
        <v>1.5279056645462887E-2</v>
      </c>
      <c r="L161" s="13">
        <f t="shared" si="19"/>
        <v>3.2066092682712915E-3</v>
      </c>
      <c r="M161" s="13">
        <f t="shared" si="20"/>
        <v>1.1163325652776382E-2</v>
      </c>
      <c r="N161" s="13">
        <f t="shared" si="21"/>
        <v>2.616551015680153E-2</v>
      </c>
      <c r="O161" s="13">
        <f t="shared" si="22"/>
        <v>1.2371681293415138E-2</v>
      </c>
    </row>
    <row r="162" spans="2:15" x14ac:dyDescent="0.2">
      <c r="B162" s="1">
        <v>45188</v>
      </c>
      <c r="C162" s="15">
        <f>VLOOKUP(B162, SAN.MC!$A$1:$G$256, 6, 0)</f>
        <v>3.3853939999999998</v>
      </c>
      <c r="D162" s="15">
        <f>VLOOKUP(B162, TEF.MC!$A$1:$G$256, 6, 0)</f>
        <v>3.8766259999999999</v>
      </c>
      <c r="E162">
        <f>VLOOKUP(B162, ACS.MC!$A$1:$G$256, 6, 0)</f>
        <v>33.461758000000003</v>
      </c>
      <c r="F162">
        <f>VLOOKUP(B162, IBE.MC!$A$1:$G$256, 6, 0)</f>
        <v>10.947483</v>
      </c>
      <c r="G162">
        <f>VLOOKUP(B162, IAG.MC!$A$1:$G$256, 6, 0)</f>
        <v>1.754</v>
      </c>
      <c r="H162">
        <f>VLOOKUP(B162, IBEX35!$A$1:$G$256, 6, 0)</f>
        <v>9527.2001949999994</v>
      </c>
      <c r="J162" s="13">
        <f t="shared" si="17"/>
        <v>5.3549015309417971E-3</v>
      </c>
      <c r="K162" s="13">
        <f t="shared" si="18"/>
        <v>9.9825243144105007E-3</v>
      </c>
      <c r="L162" s="13">
        <f t="shared" si="19"/>
        <v>1.8565468692655969E-2</v>
      </c>
      <c r="M162" s="13">
        <f t="shared" si="20"/>
        <v>7.2104151746316854E-3</v>
      </c>
      <c r="N162" s="13">
        <f t="shared" si="21"/>
        <v>1.1409014357916423E-3</v>
      </c>
      <c r="O162" s="13">
        <f t="shared" si="22"/>
        <v>4.7451164523902118E-3</v>
      </c>
    </row>
    <row r="163" spans="2:15" x14ac:dyDescent="0.2">
      <c r="B163" s="1">
        <v>45187</v>
      </c>
      <c r="C163" s="15">
        <f>VLOOKUP(B163, SAN.MC!$A$1:$G$256, 6, 0)</f>
        <v>3.3673139999999999</v>
      </c>
      <c r="D163" s="15">
        <f>VLOOKUP(B163, TEF.MC!$A$1:$G$256, 6, 0)</f>
        <v>3.83812</v>
      </c>
      <c r="E163">
        <f>VLOOKUP(B163, ACS.MC!$A$1:$G$256, 6, 0)</f>
        <v>32.846255999999997</v>
      </c>
      <c r="F163">
        <f>VLOOKUP(B163, IBE.MC!$A$1:$G$256, 6, 0)</f>
        <v>10.868831</v>
      </c>
      <c r="G163">
        <f>VLOOKUP(B163, IAG.MC!$A$1:$G$256, 6, 0)</f>
        <v>1.752</v>
      </c>
      <c r="H163">
        <f>VLOOKUP(B163, IBEX35!$A$1:$G$256, 6, 0)</f>
        <v>9482.0996090000008</v>
      </c>
      <c r="J163" s="13">
        <f t="shared" si="17"/>
        <v>-1.3262365048316309E-2</v>
      </c>
      <c r="K163" s="13">
        <f t="shared" si="18"/>
        <v>1.2620074371954707E-2</v>
      </c>
      <c r="L163" s="13">
        <f t="shared" si="19"/>
        <v>6.2657191414274204E-3</v>
      </c>
      <c r="M163" s="13">
        <f t="shared" si="20"/>
        <v>-2.7099560502976423E-3</v>
      </c>
      <c r="N163" s="13">
        <f t="shared" si="21"/>
        <v>-1.8940495538166482E-2</v>
      </c>
      <c r="O163" s="13">
        <f t="shared" si="22"/>
        <v>-7.1039913191728397E-3</v>
      </c>
    </row>
    <row r="164" spans="2:15" x14ac:dyDescent="0.2">
      <c r="B164" s="1">
        <v>45184</v>
      </c>
      <c r="C164" s="15">
        <f>VLOOKUP(B164, SAN.MC!$A$1:$G$256, 6, 0)</f>
        <v>3.4122699999999999</v>
      </c>
      <c r="D164" s="15">
        <f>VLOOKUP(B164, TEF.MC!$A$1:$G$256, 6, 0)</f>
        <v>3.789987</v>
      </c>
      <c r="E164">
        <f>VLOOKUP(B164, ACS.MC!$A$1:$G$256, 6, 0)</f>
        <v>32.641094000000002</v>
      </c>
      <c r="F164">
        <f>VLOOKUP(B164, IBE.MC!$A$1:$G$256, 6, 0)</f>
        <v>10.898325</v>
      </c>
      <c r="G164">
        <f>VLOOKUP(B164, IAG.MC!$A$1:$G$256, 6, 0)</f>
        <v>1.7855000000000001</v>
      </c>
      <c r="H164">
        <f>VLOOKUP(B164, IBEX35!$A$1:$G$256, 6, 0)</f>
        <v>9549.7001949999994</v>
      </c>
      <c r="J164" s="13">
        <f t="shared" si="17"/>
        <v>-9.6906923754349148E-3</v>
      </c>
      <c r="K164" s="13">
        <f t="shared" si="18"/>
        <v>-2.0298715072147176E-3</v>
      </c>
      <c r="L164" s="13">
        <f t="shared" si="19"/>
        <v>1.4167615399120558E-2</v>
      </c>
      <c r="M164" s="13">
        <f t="shared" si="20"/>
        <v>7.2430565517383836E-3</v>
      </c>
      <c r="N164" s="13">
        <f t="shared" si="21"/>
        <v>1.1207622355568286E-3</v>
      </c>
      <c r="O164" s="13">
        <f t="shared" si="22"/>
        <v>7.3323838079416428E-5</v>
      </c>
    </row>
    <row r="165" spans="2:15" x14ac:dyDescent="0.2">
      <c r="B165" s="1">
        <v>45183</v>
      </c>
      <c r="C165" s="15">
        <f>VLOOKUP(B165, SAN.MC!$A$1:$G$256, 6, 0)</f>
        <v>3.4454980000000002</v>
      </c>
      <c r="D165" s="15">
        <f>VLOOKUP(B165, TEF.MC!$A$1:$G$256, 6, 0)</f>
        <v>3.797688</v>
      </c>
      <c r="E165">
        <f>VLOOKUP(B165, ACS.MC!$A$1:$G$256, 6, 0)</f>
        <v>32.181908</v>
      </c>
      <c r="F165">
        <f>VLOOKUP(B165, IBE.MC!$A$1:$G$256, 6, 0)</f>
        <v>10.819673</v>
      </c>
      <c r="G165">
        <f>VLOOKUP(B165, IAG.MC!$A$1:$G$256, 6, 0)</f>
        <v>1.7835000000000001</v>
      </c>
      <c r="H165">
        <f>VLOOKUP(B165, IBEX35!$A$1:$G$256, 6, 0)</f>
        <v>9549</v>
      </c>
      <c r="J165" s="13">
        <f t="shared" si="17"/>
        <v>2.0489143949111568E-2</v>
      </c>
      <c r="K165" s="13">
        <f t="shared" si="18"/>
        <v>-3.0374961782077786E-3</v>
      </c>
      <c r="L165" s="13">
        <f t="shared" si="19"/>
        <v>8.5367002672592021E-3</v>
      </c>
      <c r="M165" s="13">
        <f t="shared" si="20"/>
        <v>2.0193610173481796E-2</v>
      </c>
      <c r="N165" s="13">
        <f t="shared" si="21"/>
        <v>-6.1487057887156561E-3</v>
      </c>
      <c r="O165" s="13">
        <f t="shared" si="22"/>
        <v>1.3166240399073798E-2</v>
      </c>
    </row>
    <row r="166" spans="2:15" x14ac:dyDescent="0.2">
      <c r="B166" s="1">
        <v>45182</v>
      </c>
      <c r="C166" s="15">
        <f>VLOOKUP(B166, SAN.MC!$A$1:$G$256, 6, 0)</f>
        <v>3.3756210000000002</v>
      </c>
      <c r="D166" s="15">
        <f>VLOOKUP(B166, TEF.MC!$A$1:$G$256, 6, 0)</f>
        <v>3.8092410000000001</v>
      </c>
      <c r="E166">
        <f>VLOOKUP(B166, ACS.MC!$A$1:$G$256, 6, 0)</f>
        <v>31.908349999999999</v>
      </c>
      <c r="F166">
        <f>VLOOKUP(B166, IBE.MC!$A$1:$G$256, 6, 0)</f>
        <v>10.603376000000001</v>
      </c>
      <c r="G166">
        <f>VLOOKUP(B166, IAG.MC!$A$1:$G$256, 6, 0)</f>
        <v>1.7945</v>
      </c>
      <c r="H166">
        <f>VLOOKUP(B166, IBEX35!$A$1:$G$256, 6, 0)</f>
        <v>9424.0996090000008</v>
      </c>
      <c r="J166" s="13">
        <f t="shared" si="17"/>
        <v>2.3187044156553821E-3</v>
      </c>
      <c r="K166" s="13">
        <f t="shared" si="18"/>
        <v>4.3056499752392435E-3</v>
      </c>
      <c r="L166" s="13">
        <f t="shared" si="19"/>
        <v>-6.1051770159822744E-3</v>
      </c>
      <c r="M166" s="13">
        <f t="shared" si="20"/>
        <v>-1.8527862287482598E-3</v>
      </c>
      <c r="N166" s="13">
        <f t="shared" si="21"/>
        <v>-2.5039140015369384E-2</v>
      </c>
      <c r="O166" s="13">
        <f t="shared" si="22"/>
        <v>-3.315851656982637E-3</v>
      </c>
    </row>
    <row r="167" spans="2:15" x14ac:dyDescent="0.2">
      <c r="B167" s="1">
        <v>45181</v>
      </c>
      <c r="C167" s="15">
        <f>VLOOKUP(B167, SAN.MC!$A$1:$G$256, 6, 0)</f>
        <v>3.3678029999999999</v>
      </c>
      <c r="D167" s="15">
        <f>VLOOKUP(B167, TEF.MC!$A$1:$G$256, 6, 0)</f>
        <v>3.792875</v>
      </c>
      <c r="E167">
        <f>VLOOKUP(B167, ACS.MC!$A$1:$G$256, 6, 0)</f>
        <v>32.103752</v>
      </c>
      <c r="F167">
        <f>VLOOKUP(B167, IBE.MC!$A$1:$G$256, 6, 0)</f>
        <v>10.62304</v>
      </c>
      <c r="G167">
        <f>VLOOKUP(B167, IAG.MC!$A$1:$G$256, 6, 0)</f>
        <v>1.84</v>
      </c>
      <c r="H167">
        <f>VLOOKUP(B167, IBEX35!$A$1:$G$256, 6, 0)</f>
        <v>9455.4003909999992</v>
      </c>
      <c r="J167" s="13">
        <f t="shared" si="17"/>
        <v>3.4884665942948819E-3</v>
      </c>
      <c r="K167" s="13">
        <f t="shared" si="18"/>
        <v>1.174373714229158E-2</v>
      </c>
      <c r="L167" s="13">
        <f t="shared" si="19"/>
        <v>-2.4315232512769442E-3</v>
      </c>
      <c r="M167" s="13">
        <f t="shared" si="20"/>
        <v>-9.2510739611701787E-4</v>
      </c>
      <c r="N167" s="13">
        <f t="shared" si="21"/>
        <v>7.6377894481175403E-3</v>
      </c>
      <c r="O167" s="13">
        <f t="shared" si="22"/>
        <v>2.1386512945834315E-3</v>
      </c>
    </row>
    <row r="168" spans="2:15" x14ac:dyDescent="0.2">
      <c r="B168" s="1">
        <v>45180</v>
      </c>
      <c r="C168" s="15">
        <f>VLOOKUP(B168, SAN.MC!$A$1:$G$256, 6, 0)</f>
        <v>3.3560750000000001</v>
      </c>
      <c r="D168" s="15">
        <f>VLOOKUP(B168, TEF.MC!$A$1:$G$256, 6, 0)</f>
        <v>3.7485930000000001</v>
      </c>
      <c r="E168">
        <f>VLOOKUP(B168, ACS.MC!$A$1:$G$256, 6, 0)</f>
        <v>32.181908</v>
      </c>
      <c r="F168">
        <f>VLOOKUP(B168, IBE.MC!$A$1:$G$256, 6, 0)</f>
        <v>10.632872000000001</v>
      </c>
      <c r="G168">
        <f>VLOOKUP(B168, IAG.MC!$A$1:$G$256, 6, 0)</f>
        <v>1.8260000000000001</v>
      </c>
      <c r="H168">
        <f>VLOOKUP(B168, IBEX35!$A$1:$G$256, 6, 0)</f>
        <v>9435.2001949999994</v>
      </c>
      <c r="J168" s="13">
        <f t="shared" si="17"/>
        <v>7.6001526338977674E-3</v>
      </c>
      <c r="K168" s="13">
        <f t="shared" si="18"/>
        <v>1.2403362994276952E-2</v>
      </c>
      <c r="L168" s="13">
        <f t="shared" si="19"/>
        <v>1.4063228092379438E-2</v>
      </c>
      <c r="M168" s="13">
        <f t="shared" si="20"/>
        <v>-8.7457245785217044E-3</v>
      </c>
      <c r="N168" s="13">
        <f t="shared" si="21"/>
        <v>1.1290220437401421E-2</v>
      </c>
      <c r="O168" s="13">
        <f t="shared" si="22"/>
        <v>7.5108159268923134E-3</v>
      </c>
    </row>
    <row r="169" spans="2:15" x14ac:dyDescent="0.2">
      <c r="B169" s="1">
        <v>45177</v>
      </c>
      <c r="C169" s="15">
        <f>VLOOKUP(B169, SAN.MC!$A$1:$G$256, 6, 0)</f>
        <v>3.3306650000000002</v>
      </c>
      <c r="D169" s="15">
        <f>VLOOKUP(B169, TEF.MC!$A$1:$G$256, 6, 0)</f>
        <v>3.702385</v>
      </c>
      <c r="E169">
        <f>VLOOKUP(B169, ACS.MC!$A$1:$G$256, 6, 0)</f>
        <v>31.732493999999999</v>
      </c>
      <c r="F169">
        <f>VLOOKUP(B169, IBE.MC!$A$1:$G$256, 6, 0)</f>
        <v>10.726272</v>
      </c>
      <c r="G169">
        <f>VLOOKUP(B169, IAG.MC!$A$1:$G$256, 6, 0)</f>
        <v>1.8055000000000001</v>
      </c>
      <c r="H169">
        <f>VLOOKUP(B169, IBEX35!$A$1:$G$256, 6, 0)</f>
        <v>9364.5996090000008</v>
      </c>
      <c r="J169" s="13">
        <f t="shared" si="17"/>
        <v>9.4340777674400376E-3</v>
      </c>
      <c r="K169" s="13">
        <f t="shared" si="18"/>
        <v>1.8215660227245039E-3</v>
      </c>
      <c r="L169" s="13">
        <f t="shared" si="19"/>
        <v>2.7747597132231523E-3</v>
      </c>
      <c r="M169" s="13">
        <f t="shared" si="20"/>
        <v>4.5934868844227008E-3</v>
      </c>
      <c r="N169" s="13">
        <f t="shared" si="21"/>
        <v>-5.5370987018241527E-4</v>
      </c>
      <c r="O169" s="13">
        <f t="shared" si="22"/>
        <v>5.847489715522845E-3</v>
      </c>
    </row>
    <row r="170" spans="2:15" x14ac:dyDescent="0.2">
      <c r="B170" s="1">
        <v>45176</v>
      </c>
      <c r="C170" s="15">
        <f>VLOOKUP(B170, SAN.MC!$A$1:$G$256, 6, 0)</f>
        <v>3.299391</v>
      </c>
      <c r="D170" s="15">
        <f>VLOOKUP(B170, TEF.MC!$A$1:$G$256, 6, 0)</f>
        <v>3.6956470000000001</v>
      </c>
      <c r="E170">
        <f>VLOOKUP(B170, ACS.MC!$A$1:$G$256, 6, 0)</f>
        <v>31.644566000000001</v>
      </c>
      <c r="F170">
        <f>VLOOKUP(B170, IBE.MC!$A$1:$G$256, 6, 0)</f>
        <v>10.677114</v>
      </c>
      <c r="G170">
        <f>VLOOKUP(B170, IAG.MC!$A$1:$G$256, 6, 0)</f>
        <v>1.8065</v>
      </c>
      <c r="H170">
        <f>VLOOKUP(B170, IBEX35!$A$1:$G$256, 6, 0)</f>
        <v>9310</v>
      </c>
      <c r="J170" s="13">
        <f t="shared" si="17"/>
        <v>-9.1406999218490905E-3</v>
      </c>
      <c r="K170" s="13">
        <f t="shared" si="18"/>
        <v>2.0527206754528189E-2</v>
      </c>
      <c r="L170" s="13">
        <f t="shared" si="19"/>
        <v>4.6418202692780014E-3</v>
      </c>
      <c r="M170" s="13">
        <f t="shared" si="20"/>
        <v>1.5777670948903144E-2</v>
      </c>
      <c r="N170" s="13">
        <f t="shared" si="21"/>
        <v>5.2726638041360012E-3</v>
      </c>
      <c r="O170" s="13">
        <f t="shared" si="22"/>
        <v>-4.7254042970502999E-4</v>
      </c>
    </row>
    <row r="171" spans="2:15" x14ac:dyDescent="0.2">
      <c r="B171" s="1">
        <v>45175</v>
      </c>
      <c r="C171" s="15">
        <f>VLOOKUP(B171, SAN.MC!$A$1:$G$256, 6, 0)</f>
        <v>3.329688</v>
      </c>
      <c r="D171" s="15">
        <f>VLOOKUP(B171, TEF.MC!$A$1:$G$256, 6, 0)</f>
        <v>3.6205590000000001</v>
      </c>
      <c r="E171">
        <f>VLOOKUP(B171, ACS.MC!$A$1:$G$256, 6, 0)</f>
        <v>31.498017999999998</v>
      </c>
      <c r="F171">
        <f>VLOOKUP(B171, IBE.MC!$A$1:$G$256, 6, 0)</f>
        <v>10.509976</v>
      </c>
      <c r="G171">
        <f>VLOOKUP(B171, IAG.MC!$A$1:$G$256, 6, 0)</f>
        <v>1.7969999999999999</v>
      </c>
      <c r="H171">
        <f>VLOOKUP(B171, IBEX35!$A$1:$G$256, 6, 0)</f>
        <v>9314.4003909999992</v>
      </c>
      <c r="J171" s="13">
        <f t="shared" si="17"/>
        <v>-2.7787442554958977E-2</v>
      </c>
      <c r="K171" s="13">
        <f t="shared" si="18"/>
        <v>2.6622460995321283E-3</v>
      </c>
      <c r="L171" s="13">
        <f t="shared" si="19"/>
        <v>-6.2013242364822362E-4</v>
      </c>
      <c r="M171" s="13">
        <f t="shared" si="20"/>
        <v>4.6881474959809275E-3</v>
      </c>
      <c r="N171" s="13">
        <f t="shared" si="21"/>
        <v>-4.2756682738382977E-2</v>
      </c>
      <c r="O171" s="13">
        <f t="shared" si="22"/>
        <v>-8.2966313670598153E-3</v>
      </c>
    </row>
    <row r="172" spans="2:15" x14ac:dyDescent="0.2">
      <c r="B172" s="1">
        <v>45174</v>
      </c>
      <c r="C172" s="15">
        <f>VLOOKUP(B172, SAN.MC!$A$1:$G$256, 6, 0)</f>
        <v>3.4235090000000001</v>
      </c>
      <c r="D172" s="15">
        <f>VLOOKUP(B172, TEF.MC!$A$1:$G$256, 6, 0)</f>
        <v>3.6109330000000002</v>
      </c>
      <c r="E172">
        <f>VLOOKUP(B172, ACS.MC!$A$1:$G$256, 6, 0)</f>
        <v>31.517557</v>
      </c>
      <c r="F172">
        <f>VLOOKUP(B172, IBE.MC!$A$1:$G$256, 6, 0)</f>
        <v>10.460819000000001</v>
      </c>
      <c r="G172">
        <f>VLOOKUP(B172, IAG.MC!$A$1:$G$256, 6, 0)</f>
        <v>1.8754999999999999</v>
      </c>
      <c r="H172">
        <f>VLOOKUP(B172, IBEX35!$A$1:$G$256, 6, 0)</f>
        <v>9392</v>
      </c>
      <c r="J172" s="13">
        <f t="shared" si="17"/>
        <v>-3.4198704633217375E-3</v>
      </c>
      <c r="K172" s="13">
        <f t="shared" si="18"/>
        <v>-5.3296116833000627E-4</v>
      </c>
      <c r="L172" s="13">
        <f t="shared" si="19"/>
        <v>-3.4040451615317846E-3</v>
      </c>
      <c r="M172" s="13">
        <f t="shared" si="20"/>
        <v>-8.88883659493858E-3</v>
      </c>
      <c r="N172" s="13">
        <f t="shared" si="21"/>
        <v>-7.1722979795676026E-3</v>
      </c>
      <c r="O172" s="13">
        <f t="shared" si="22"/>
        <v>-2.583946318625453E-3</v>
      </c>
    </row>
    <row r="173" spans="2:15" x14ac:dyDescent="0.2">
      <c r="B173" s="1">
        <v>45173</v>
      </c>
      <c r="C173" s="15">
        <f>VLOOKUP(B173, SAN.MC!$A$1:$G$256, 6, 0)</f>
        <v>3.4352369999999999</v>
      </c>
      <c r="D173" s="15">
        <f>VLOOKUP(B173, TEF.MC!$A$1:$G$256, 6, 0)</f>
        <v>3.6128580000000001</v>
      </c>
      <c r="E173">
        <f>VLOOKUP(B173, ACS.MC!$A$1:$G$256, 6, 0)</f>
        <v>31.625026999999999</v>
      </c>
      <c r="F173">
        <f>VLOOKUP(B173, IBE.MC!$A$1:$G$256, 6, 0)</f>
        <v>10.554218000000001</v>
      </c>
      <c r="G173">
        <f>VLOOKUP(B173, IAG.MC!$A$1:$G$256, 6, 0)</f>
        <v>1.889</v>
      </c>
      <c r="H173">
        <f>VLOOKUP(B173, IBEX35!$A$1:$G$256, 6, 0)</f>
        <v>9416.2998050000006</v>
      </c>
      <c r="J173" s="13">
        <f t="shared" si="17"/>
        <v>-1.2794421772362526E-3</v>
      </c>
      <c r="K173" s="13">
        <f t="shared" si="18"/>
        <v>-1.9787116127375323E-2</v>
      </c>
      <c r="L173" s="13">
        <f t="shared" si="19"/>
        <v>1.2365576336950119E-3</v>
      </c>
      <c r="M173" s="13">
        <f t="shared" si="20"/>
        <v>-9.7336814997855299E-3</v>
      </c>
      <c r="N173" s="13">
        <f t="shared" si="21"/>
        <v>1.3591148582196578E-2</v>
      </c>
      <c r="O173" s="13">
        <f t="shared" si="22"/>
        <v>-3.5301617856867921E-3</v>
      </c>
    </row>
    <row r="174" spans="2:15" x14ac:dyDescent="0.2">
      <c r="B174" s="1">
        <v>45170</v>
      </c>
      <c r="C174" s="15">
        <f>VLOOKUP(B174, SAN.MC!$A$1:$G$256, 6, 0)</f>
        <v>3.439635</v>
      </c>
      <c r="D174" s="15">
        <f>VLOOKUP(B174, TEF.MC!$A$1:$G$256, 6, 0)</f>
        <v>3.6850580000000002</v>
      </c>
      <c r="E174">
        <f>VLOOKUP(B174, ACS.MC!$A$1:$G$256, 6, 0)</f>
        <v>31.585944999999999</v>
      </c>
      <c r="F174">
        <f>VLOOKUP(B174, IBE.MC!$A$1:$G$256, 6, 0)</f>
        <v>10.657451</v>
      </c>
      <c r="G174">
        <f>VLOOKUP(B174, IAG.MC!$A$1:$G$256, 6, 0)</f>
        <v>1.8634999999999999</v>
      </c>
      <c r="H174">
        <f>VLOOKUP(B174, IBEX35!$A$1:$G$256, 6, 0)</f>
        <v>9449.5996090000008</v>
      </c>
      <c r="J174" s="13">
        <f t="shared" si="17"/>
        <v>-2.3170057553629636E-2</v>
      </c>
      <c r="K174" s="13">
        <f t="shared" si="18"/>
        <v>1.0455774672338497E-3</v>
      </c>
      <c r="L174" s="13">
        <f t="shared" si="19"/>
        <v>-1.8542003177929006E-3</v>
      </c>
      <c r="M174" s="13">
        <f t="shared" si="20"/>
        <v>-1.1009270440606638E-2</v>
      </c>
      <c r="N174" s="13">
        <f t="shared" si="21"/>
        <v>-1.5442266392290762E-2</v>
      </c>
      <c r="O174" s="13">
        <f t="shared" si="22"/>
        <v>-5.9403284069949108E-3</v>
      </c>
    </row>
    <row r="175" spans="2:15" x14ac:dyDescent="0.2">
      <c r="B175" s="1">
        <v>45169</v>
      </c>
      <c r="C175" s="15">
        <f>VLOOKUP(B175, SAN.MC!$A$1:$G$256, 6, 0)</f>
        <v>3.5202619999999998</v>
      </c>
      <c r="D175" s="15">
        <f>VLOOKUP(B175, TEF.MC!$A$1:$G$256, 6, 0)</f>
        <v>3.6812070000000001</v>
      </c>
      <c r="E175">
        <f>VLOOKUP(B175, ACS.MC!$A$1:$G$256, 6, 0)</f>
        <v>31.644566000000001</v>
      </c>
      <c r="F175">
        <f>VLOOKUP(B175, IBE.MC!$A$1:$G$256, 6, 0)</f>
        <v>10.77543</v>
      </c>
      <c r="G175">
        <f>VLOOKUP(B175, IAG.MC!$A$1:$G$256, 6, 0)</f>
        <v>1.8925000000000001</v>
      </c>
      <c r="H175">
        <f>VLOOKUP(B175, IBEX35!$A$1:$G$256, 6, 0)</f>
        <v>9505.9003909999992</v>
      </c>
      <c r="J175" s="13">
        <f t="shared" si="17"/>
        <v>-7.3301912343333026E-3</v>
      </c>
      <c r="K175" s="13">
        <f t="shared" si="18"/>
        <v>2.0941681380145043E-3</v>
      </c>
      <c r="L175" s="13">
        <f t="shared" si="19"/>
        <v>1.5449017041368855E-3</v>
      </c>
      <c r="M175" s="13">
        <f t="shared" si="20"/>
        <v>-2.278425077044015E-3</v>
      </c>
      <c r="N175" s="13">
        <f t="shared" si="21"/>
        <v>6.3610074012126856E-3</v>
      </c>
      <c r="O175" s="13">
        <f t="shared" si="22"/>
        <v>-4.7435905708898118E-3</v>
      </c>
    </row>
    <row r="176" spans="2:15" x14ac:dyDescent="0.2">
      <c r="B176" s="1">
        <v>45168</v>
      </c>
      <c r="C176" s="15">
        <f>VLOOKUP(B176, SAN.MC!$A$1:$G$256, 6, 0)</f>
        <v>3.5461610000000001</v>
      </c>
      <c r="D176" s="15">
        <f>VLOOKUP(B176, TEF.MC!$A$1:$G$256, 6, 0)</f>
        <v>3.6735060000000002</v>
      </c>
      <c r="E176">
        <f>VLOOKUP(B176, ACS.MC!$A$1:$G$256, 6, 0)</f>
        <v>31.595715999999999</v>
      </c>
      <c r="F176">
        <f>VLOOKUP(B176, IBE.MC!$A$1:$G$256, 6, 0)</f>
        <v>10.800008999999999</v>
      </c>
      <c r="G176">
        <f>VLOOKUP(B176, IAG.MC!$A$1:$G$256, 6, 0)</f>
        <v>1.8805000000000001</v>
      </c>
      <c r="H176">
        <f>VLOOKUP(B176, IBEX35!$A$1:$G$256, 6, 0)</f>
        <v>9551.0996090000008</v>
      </c>
      <c r="J176" s="13">
        <f t="shared" si="17"/>
        <v>-8.2646799308143078E-4</v>
      </c>
      <c r="K176" s="13">
        <f t="shared" si="18"/>
        <v>5.5183879290382851E-3</v>
      </c>
      <c r="L176" s="13">
        <f t="shared" si="19"/>
        <v>4.9597219872303073E-3</v>
      </c>
      <c r="M176" s="13">
        <f t="shared" si="20"/>
        <v>-2.3392923462486465E-2</v>
      </c>
      <c r="N176" s="13">
        <f t="shared" si="21"/>
        <v>-7.4172525482643723E-3</v>
      </c>
      <c r="O176" s="13">
        <f t="shared" si="22"/>
        <v>-3.1465752830230052E-3</v>
      </c>
    </row>
    <row r="177" spans="2:15" x14ac:dyDescent="0.2">
      <c r="B177" s="1">
        <v>45167</v>
      </c>
      <c r="C177" s="15">
        <f>VLOOKUP(B177, SAN.MC!$A$1:$G$256, 6, 0)</f>
        <v>3.5490930000000001</v>
      </c>
      <c r="D177" s="15">
        <f>VLOOKUP(B177, TEF.MC!$A$1:$G$256, 6, 0)</f>
        <v>3.6532900000000001</v>
      </c>
      <c r="E177">
        <f>VLOOKUP(B177, ACS.MC!$A$1:$G$256, 6, 0)</f>
        <v>31.439398000000001</v>
      </c>
      <c r="F177">
        <f>VLOOKUP(B177, IBE.MC!$A$1:$G$256, 6, 0)</f>
        <v>11.055631</v>
      </c>
      <c r="G177">
        <f>VLOOKUP(B177, IAG.MC!$A$1:$G$256, 6, 0)</f>
        <v>1.8945000000000001</v>
      </c>
      <c r="H177">
        <f>VLOOKUP(B177, IBEX35!$A$1:$G$256, 6, 0)</f>
        <v>9581.2001949999994</v>
      </c>
      <c r="J177" s="13">
        <f t="shared" si="17"/>
        <v>1.5820325183489126E-2</v>
      </c>
      <c r="K177" s="13">
        <f t="shared" si="18"/>
        <v>1.7008071855750151E-2</v>
      </c>
      <c r="L177" s="13">
        <f t="shared" si="19"/>
        <v>4.9843475936605913E-3</v>
      </c>
      <c r="M177" s="13">
        <f t="shared" si="20"/>
        <v>2.1573839775459441E-2</v>
      </c>
      <c r="N177" s="13">
        <f t="shared" si="21"/>
        <v>1.1146612224913425E-2</v>
      </c>
      <c r="O177" s="13">
        <f t="shared" si="22"/>
        <v>9.5537566776757402E-3</v>
      </c>
    </row>
    <row r="178" spans="2:15" x14ac:dyDescent="0.2">
      <c r="B178" s="1">
        <v>45166</v>
      </c>
      <c r="C178" s="15">
        <f>VLOOKUP(B178, SAN.MC!$A$1:$G$256, 6, 0)</f>
        <v>3.4933869999999998</v>
      </c>
      <c r="D178" s="15">
        <f>VLOOKUP(B178, TEF.MC!$A$1:$G$256, 6, 0)</f>
        <v>3.5916800000000002</v>
      </c>
      <c r="E178">
        <f>VLOOKUP(B178, ACS.MC!$A$1:$G$256, 6, 0)</f>
        <v>31.283083000000001</v>
      </c>
      <c r="F178">
        <f>VLOOKUP(B178, IBE.MC!$A$1:$G$256, 6, 0)</f>
        <v>10.819673</v>
      </c>
      <c r="G178">
        <f>VLOOKUP(B178, IAG.MC!$A$1:$G$256, 6, 0)</f>
        <v>1.8734999999999999</v>
      </c>
      <c r="H178">
        <f>VLOOKUP(B178, IBEX35!$A$1:$G$256, 6, 0)</f>
        <v>9490.0996090000008</v>
      </c>
      <c r="J178" s="13">
        <f t="shared" si="17"/>
        <v>1.026378642003711E-2</v>
      </c>
      <c r="K178" s="13">
        <f t="shared" si="18"/>
        <v>1.1863178536185707E-2</v>
      </c>
      <c r="L178" s="13">
        <f t="shared" si="19"/>
        <v>1.0990879186049929E-2</v>
      </c>
      <c r="M178" s="13">
        <f t="shared" si="20"/>
        <v>3.6413897094632786E-3</v>
      </c>
      <c r="N178" s="13">
        <f t="shared" si="21"/>
        <v>1.5329061759114438E-2</v>
      </c>
      <c r="O178" s="13">
        <f t="shared" si="22"/>
        <v>1.6060594619707269E-2</v>
      </c>
    </row>
    <row r="179" spans="2:15" x14ac:dyDescent="0.2">
      <c r="B179" s="1">
        <v>45163</v>
      </c>
      <c r="C179" s="15">
        <f>VLOOKUP(B179, SAN.MC!$A$1:$G$256, 6, 0)</f>
        <v>3.4577149999999999</v>
      </c>
      <c r="D179" s="15">
        <f>VLOOKUP(B179, TEF.MC!$A$1:$G$256, 6, 0)</f>
        <v>3.5493229999999998</v>
      </c>
      <c r="E179">
        <f>VLOOKUP(B179, ACS.MC!$A$1:$G$256, 6, 0)</f>
        <v>30.941137000000001</v>
      </c>
      <c r="F179">
        <f>VLOOKUP(B179, IBE.MC!$A$1:$G$256, 6, 0)</f>
        <v>10.780346</v>
      </c>
      <c r="G179">
        <f>VLOOKUP(B179, IAG.MC!$A$1:$G$256, 6, 0)</f>
        <v>1.845</v>
      </c>
      <c r="H179">
        <f>VLOOKUP(B179, IBEX35!$A$1:$G$256, 6, 0)</f>
        <v>9338.9003909999992</v>
      </c>
      <c r="J179" s="13">
        <f t="shared" si="17"/>
        <v>5.6556219617777458E-4</v>
      </c>
      <c r="K179" s="13">
        <f t="shared" si="18"/>
        <v>-8.1334544317003109E-4</v>
      </c>
      <c r="L179" s="13">
        <f t="shared" si="19"/>
        <v>-7.8628984330023372E-3</v>
      </c>
      <c r="M179" s="13">
        <f t="shared" si="20"/>
        <v>1.0082712917590761E-2</v>
      </c>
      <c r="N179" s="13">
        <f t="shared" si="21"/>
        <v>-1.6396013047314396E-2</v>
      </c>
      <c r="O179" s="13">
        <f t="shared" si="22"/>
        <v>1.5216998107837523E-3</v>
      </c>
    </row>
    <row r="180" spans="2:15" x14ac:dyDescent="0.2">
      <c r="B180" s="1">
        <v>45162</v>
      </c>
      <c r="C180" s="15">
        <f>VLOOKUP(B180, SAN.MC!$A$1:$G$256, 6, 0)</f>
        <v>3.4557600000000002</v>
      </c>
      <c r="D180" s="15">
        <f>VLOOKUP(B180, TEF.MC!$A$1:$G$256, 6, 0)</f>
        <v>3.5522109999999998</v>
      </c>
      <c r="E180">
        <f>VLOOKUP(B180, ACS.MC!$A$1:$G$256, 6, 0)</f>
        <v>31.185383000000002</v>
      </c>
      <c r="F180">
        <f>VLOOKUP(B180, IBE.MC!$A$1:$G$256, 6, 0)</f>
        <v>10.672197000000001</v>
      </c>
      <c r="G180">
        <f>VLOOKUP(B180, IAG.MC!$A$1:$G$256, 6, 0)</f>
        <v>1.8754999999999999</v>
      </c>
      <c r="H180">
        <f>VLOOKUP(B180, IBEX35!$A$1:$G$256, 6, 0)</f>
        <v>9324.7001949999994</v>
      </c>
      <c r="J180" s="13">
        <f t="shared" si="17"/>
        <v>5.6588223778780179E-4</v>
      </c>
      <c r="K180" s="13">
        <f t="shared" si="18"/>
        <v>6.7982728806673821E-3</v>
      </c>
      <c r="L180" s="13">
        <f t="shared" si="19"/>
        <v>5.3400612308860951E-3</v>
      </c>
      <c r="M180" s="13">
        <f t="shared" si="20"/>
        <v>4.6055481078827588E-4</v>
      </c>
      <c r="N180" s="13">
        <f t="shared" si="21"/>
        <v>-1.0079660936713487E-2</v>
      </c>
      <c r="O180" s="13">
        <f t="shared" si="22"/>
        <v>9.7644209790207057E-4</v>
      </c>
    </row>
    <row r="181" spans="2:15" x14ac:dyDescent="0.2">
      <c r="B181" s="1">
        <v>45161</v>
      </c>
      <c r="C181" s="15">
        <f>VLOOKUP(B181, SAN.MC!$A$1:$G$256, 6, 0)</f>
        <v>3.453805</v>
      </c>
      <c r="D181" s="15">
        <f>VLOOKUP(B181, TEF.MC!$A$1:$G$256, 6, 0)</f>
        <v>3.5281440000000002</v>
      </c>
      <c r="E181">
        <f>VLOOKUP(B181, ACS.MC!$A$1:$G$256, 6, 0)</f>
        <v>31.019295</v>
      </c>
      <c r="F181">
        <f>VLOOKUP(B181, IBE.MC!$A$1:$G$256, 6, 0)</f>
        <v>10.667282999999999</v>
      </c>
      <c r="G181">
        <f>VLOOKUP(B181, IAG.MC!$A$1:$G$256, 6, 0)</f>
        <v>1.8945000000000001</v>
      </c>
      <c r="H181">
        <f>VLOOKUP(B181, IBEX35!$A$1:$G$256, 6, 0)</f>
        <v>9315.5996090000008</v>
      </c>
      <c r="J181" s="13">
        <f t="shared" si="17"/>
        <v>-1.1954417032350576E-2</v>
      </c>
      <c r="K181" s="13">
        <f t="shared" si="18"/>
        <v>1.5674576573327461E-2</v>
      </c>
      <c r="L181" s="13">
        <f t="shared" si="19"/>
        <v>3.1501486182687263E-4</v>
      </c>
      <c r="M181" s="13">
        <f t="shared" si="20"/>
        <v>1.579223188363239E-2</v>
      </c>
      <c r="N181" s="13">
        <f t="shared" si="21"/>
        <v>-1.5822788111294914E-3</v>
      </c>
      <c r="O181" s="13">
        <f t="shared" si="22"/>
        <v>1.7172768470652985E-4</v>
      </c>
    </row>
    <row r="182" spans="2:15" x14ac:dyDescent="0.2">
      <c r="B182" s="1">
        <v>45160</v>
      </c>
      <c r="C182" s="15">
        <f>VLOOKUP(B182, SAN.MC!$A$1:$G$256, 6, 0)</f>
        <v>3.4953409999999998</v>
      </c>
      <c r="D182" s="15">
        <f>VLOOKUP(B182, TEF.MC!$A$1:$G$256, 6, 0)</f>
        <v>3.4732729999999998</v>
      </c>
      <c r="E182">
        <f>VLOOKUP(B182, ACS.MC!$A$1:$G$256, 6, 0)</f>
        <v>31.009525</v>
      </c>
      <c r="F182">
        <f>VLOOKUP(B182, IBE.MC!$A$1:$G$256, 6, 0)</f>
        <v>10.500146000000001</v>
      </c>
      <c r="G182">
        <f>VLOOKUP(B182, IAG.MC!$A$1:$G$256, 6, 0)</f>
        <v>1.8975</v>
      </c>
      <c r="H182">
        <f>VLOOKUP(B182, IBEX35!$A$1:$G$256, 6, 0)</f>
        <v>9314</v>
      </c>
      <c r="J182" s="13">
        <f t="shared" si="17"/>
        <v>4.3431868618888179E-3</v>
      </c>
      <c r="K182" s="13">
        <f t="shared" si="18"/>
        <v>0</v>
      </c>
      <c r="L182" s="13">
        <f t="shared" si="19"/>
        <v>1.3640217817099232E-2</v>
      </c>
      <c r="M182" s="13">
        <f t="shared" si="20"/>
        <v>7.5188536176860775E-3</v>
      </c>
      <c r="N182" s="13">
        <f t="shared" si="21"/>
        <v>7.9082645481799274E-4</v>
      </c>
      <c r="O182" s="13">
        <f t="shared" si="22"/>
        <v>5.5122868504638208E-3</v>
      </c>
    </row>
    <row r="183" spans="2:15" x14ac:dyDescent="0.2">
      <c r="B183" s="1">
        <v>45159</v>
      </c>
      <c r="C183" s="15">
        <f>VLOOKUP(B183, SAN.MC!$A$1:$G$256, 6, 0)</f>
        <v>3.4801929999999999</v>
      </c>
      <c r="D183" s="15">
        <f>VLOOKUP(B183, TEF.MC!$A$1:$G$256, 6, 0)</f>
        <v>3.4732729999999998</v>
      </c>
      <c r="E183">
        <f>VLOOKUP(B183, ACS.MC!$A$1:$G$256, 6, 0)</f>
        <v>30.58942</v>
      </c>
      <c r="F183">
        <f>VLOOKUP(B183, IBE.MC!$A$1:$G$256, 6, 0)</f>
        <v>10.421493</v>
      </c>
      <c r="G183">
        <f>VLOOKUP(B183, IAG.MC!$A$1:$G$256, 6, 0)</f>
        <v>1.8959999999999999</v>
      </c>
      <c r="H183">
        <f>VLOOKUP(B183, IBEX35!$A$1:$G$256, 6, 0)</f>
        <v>9262.7998050000006</v>
      </c>
      <c r="J183" s="13">
        <f t="shared" si="17"/>
        <v>2.671520820161036E-3</v>
      </c>
      <c r="K183" s="13">
        <f t="shared" si="18"/>
        <v>-4.9762641438147633E-3</v>
      </c>
      <c r="L183" s="13">
        <f t="shared" si="19"/>
        <v>3.1940979071135077E-4</v>
      </c>
      <c r="M183" s="13">
        <f t="shared" si="20"/>
        <v>-2.355714369792226E-3</v>
      </c>
      <c r="N183" s="13">
        <f t="shared" si="21"/>
        <v>6.0838701077768976E-3</v>
      </c>
      <c r="O183" s="13">
        <f t="shared" si="22"/>
        <v>-5.2889993407983788E-4</v>
      </c>
    </row>
    <row r="184" spans="2:15" x14ac:dyDescent="0.2">
      <c r="B184" s="1">
        <v>45156</v>
      </c>
      <c r="C184" s="15">
        <f>VLOOKUP(B184, SAN.MC!$A$1:$G$256, 6, 0)</f>
        <v>3.4709080000000001</v>
      </c>
      <c r="D184" s="15">
        <f>VLOOKUP(B184, TEF.MC!$A$1:$G$256, 6, 0)</f>
        <v>3.4906000000000001</v>
      </c>
      <c r="E184">
        <f>VLOOKUP(B184, ACS.MC!$A$1:$G$256, 6, 0)</f>
        <v>30.579650999999998</v>
      </c>
      <c r="F184">
        <f>VLOOKUP(B184, IBE.MC!$A$1:$G$256, 6, 0)</f>
        <v>10.446071999999999</v>
      </c>
      <c r="G184">
        <f>VLOOKUP(B184, IAG.MC!$A$1:$G$256, 6, 0)</f>
        <v>1.8845000000000001</v>
      </c>
      <c r="H184">
        <f>VLOOKUP(B184, IBEX35!$A$1:$G$256, 6, 0)</f>
        <v>9267.7001949999994</v>
      </c>
      <c r="J184" s="13">
        <f t="shared" si="17"/>
        <v>-1.5476759741475112E-3</v>
      </c>
      <c r="K184" s="13">
        <f t="shared" si="18"/>
        <v>6.3632381070051281E-3</v>
      </c>
      <c r="L184" s="13">
        <f t="shared" si="19"/>
        <v>6.3915853468966095E-4</v>
      </c>
      <c r="M184" s="13">
        <f t="shared" si="20"/>
        <v>5.6632001562498422E-3</v>
      </c>
      <c r="N184" s="13">
        <f t="shared" si="21"/>
        <v>-1.0819474853611169E-2</v>
      </c>
      <c r="O184" s="13">
        <f t="shared" si="22"/>
        <v>-1.1107486857505949E-3</v>
      </c>
    </row>
    <row r="185" spans="2:15" x14ac:dyDescent="0.2">
      <c r="B185" s="1">
        <v>45155</v>
      </c>
      <c r="C185" s="15">
        <f>VLOOKUP(B185, SAN.MC!$A$1:$G$256, 6, 0)</f>
        <v>3.4762840000000002</v>
      </c>
      <c r="D185" s="15">
        <f>VLOOKUP(B185, TEF.MC!$A$1:$G$256, 6, 0)</f>
        <v>3.4684590000000002</v>
      </c>
      <c r="E185">
        <f>VLOOKUP(B185, ACS.MC!$A$1:$G$256, 6, 0)</f>
        <v>30.560112</v>
      </c>
      <c r="F185">
        <f>VLOOKUP(B185, IBE.MC!$A$1:$G$256, 6, 0)</f>
        <v>10.387081</v>
      </c>
      <c r="G185">
        <f>VLOOKUP(B185, IAG.MC!$A$1:$G$256, 6, 0)</f>
        <v>1.905</v>
      </c>
      <c r="H185">
        <f>VLOOKUP(B185, IBEX35!$A$1:$G$256, 6, 0)</f>
        <v>9278</v>
      </c>
      <c r="J185" s="13">
        <f t="shared" si="17"/>
        <v>1.4067734293763073E-4</v>
      </c>
      <c r="K185" s="13">
        <f t="shared" si="18"/>
        <v>8.3299327144334488E-4</v>
      </c>
      <c r="L185" s="13">
        <f t="shared" si="19"/>
        <v>-7.9605442636903369E-3</v>
      </c>
      <c r="M185" s="13">
        <f t="shared" si="20"/>
        <v>-1.3631315102703392E-2</v>
      </c>
      <c r="N185" s="13">
        <f t="shared" si="21"/>
        <v>-1.4073727211661965E-2</v>
      </c>
      <c r="O185" s="13">
        <f t="shared" si="22"/>
        <v>-7.7838114770856373E-3</v>
      </c>
    </row>
    <row r="186" spans="2:15" x14ac:dyDescent="0.2">
      <c r="B186" s="1">
        <v>45154</v>
      </c>
      <c r="C186" s="15">
        <f>VLOOKUP(B186, SAN.MC!$A$1:$G$256, 6, 0)</f>
        <v>3.4757950000000002</v>
      </c>
      <c r="D186" s="15">
        <f>VLOOKUP(B186, TEF.MC!$A$1:$G$256, 6, 0)</f>
        <v>3.4655710000000002</v>
      </c>
      <c r="E186">
        <f>VLOOKUP(B186, ACS.MC!$A$1:$G$256, 6, 0)</f>
        <v>30.804358000000001</v>
      </c>
      <c r="F186">
        <f>VLOOKUP(B186, IBE.MC!$A$1:$G$256, 6, 0)</f>
        <v>10.529640000000001</v>
      </c>
      <c r="G186">
        <f>VLOOKUP(B186, IAG.MC!$A$1:$G$256, 6, 0)</f>
        <v>1.9319999999999999</v>
      </c>
      <c r="H186">
        <f>VLOOKUP(B186, IBEX35!$A$1:$G$256, 6, 0)</f>
        <v>9350.5</v>
      </c>
      <c r="J186" s="13">
        <f t="shared" si="17"/>
        <v>-2.9480682532014389E-3</v>
      </c>
      <c r="K186" s="13">
        <f t="shared" si="18"/>
        <v>-6.0926604265158519E-3</v>
      </c>
      <c r="L186" s="13">
        <f t="shared" si="19"/>
        <v>6.3449461763417665E-4</v>
      </c>
      <c r="M186" s="13">
        <f t="shared" si="20"/>
        <v>6.0875499818963891E-3</v>
      </c>
      <c r="N186" s="13">
        <f t="shared" si="21"/>
        <v>3.6297680505787311E-3</v>
      </c>
      <c r="O186" s="13">
        <f t="shared" si="22"/>
        <v>3.2088993750581781E-4</v>
      </c>
    </row>
    <row r="187" spans="2:15" x14ac:dyDescent="0.2">
      <c r="B187" s="1">
        <v>45153</v>
      </c>
      <c r="C187" s="15">
        <f>VLOOKUP(B187, SAN.MC!$A$1:$G$256, 6, 0)</f>
        <v>3.4860570000000002</v>
      </c>
      <c r="D187" s="15">
        <f>VLOOKUP(B187, TEF.MC!$A$1:$G$256, 6, 0)</f>
        <v>3.4867499999999998</v>
      </c>
      <c r="E187">
        <f>VLOOKUP(B187, ACS.MC!$A$1:$G$256, 6, 0)</f>
        <v>30.784818999999999</v>
      </c>
      <c r="F187">
        <f>VLOOKUP(B187, IBE.MC!$A$1:$G$256, 6, 0)</f>
        <v>10.465735</v>
      </c>
      <c r="G187">
        <f>VLOOKUP(B187, IAG.MC!$A$1:$G$256, 6, 0)</f>
        <v>1.925</v>
      </c>
      <c r="H187">
        <f>VLOOKUP(B187, IBEX35!$A$1:$G$256, 6, 0)</f>
        <v>9347.5</v>
      </c>
      <c r="J187" s="13">
        <f t="shared" si="17"/>
        <v>-8.2360787255491633E-3</v>
      </c>
      <c r="K187" s="13">
        <f t="shared" si="18"/>
        <v>-7.7006814697058515E-3</v>
      </c>
      <c r="L187" s="13">
        <f t="shared" si="19"/>
        <v>-5.3806251732654853E-3</v>
      </c>
      <c r="M187" s="13">
        <f t="shared" si="20"/>
        <v>-2.1835893594878083E-2</v>
      </c>
      <c r="N187" s="13">
        <f t="shared" si="21"/>
        <v>-5.1813587419976288E-3</v>
      </c>
      <c r="O187" s="13">
        <f t="shared" si="22"/>
        <v>-8.7447085959166948E-3</v>
      </c>
    </row>
    <row r="188" spans="2:15" x14ac:dyDescent="0.2">
      <c r="B188" s="1">
        <v>45152</v>
      </c>
      <c r="C188" s="15">
        <f>VLOOKUP(B188, SAN.MC!$A$1:$G$256, 6, 0)</f>
        <v>3.5148869999999999</v>
      </c>
      <c r="D188" s="15">
        <f>VLOOKUP(B188, TEF.MC!$A$1:$G$256, 6, 0)</f>
        <v>3.5137040000000002</v>
      </c>
      <c r="E188">
        <f>VLOOKUP(B188, ACS.MC!$A$1:$G$256, 6, 0)</f>
        <v>30.950907000000001</v>
      </c>
      <c r="F188">
        <f>VLOOKUP(B188, IBE.MC!$A$1:$G$256, 6, 0)</f>
        <v>10.696777000000001</v>
      </c>
      <c r="G188">
        <f>VLOOKUP(B188, IAG.MC!$A$1:$G$256, 6, 0)</f>
        <v>1.9350000000000001</v>
      </c>
      <c r="H188">
        <f>VLOOKUP(B188, IBEX35!$A$1:$G$256, 6, 0)</f>
        <v>9429.5996090000008</v>
      </c>
      <c r="J188" s="13">
        <f t="shared" si="17"/>
        <v>1.1127456628739732E-3</v>
      </c>
      <c r="K188" s="13">
        <f t="shared" si="18"/>
        <v>4.393043808018986E-3</v>
      </c>
      <c r="L188" s="13">
        <f t="shared" si="19"/>
        <v>-3.7806815084739675E-3</v>
      </c>
      <c r="M188" s="13">
        <f t="shared" si="20"/>
        <v>-5.0425261067955137E-3</v>
      </c>
      <c r="N188" s="13">
        <f t="shared" si="21"/>
        <v>5.9608832715323809E-3</v>
      </c>
      <c r="O188" s="13">
        <f t="shared" si="22"/>
        <v>-4.9832709495662136E-4</v>
      </c>
    </row>
    <row r="189" spans="2:15" x14ac:dyDescent="0.2">
      <c r="B189" s="1">
        <v>45149</v>
      </c>
      <c r="C189" s="15">
        <f>VLOOKUP(B189, SAN.MC!$A$1:$G$256, 6, 0)</f>
        <v>3.5109780000000002</v>
      </c>
      <c r="D189" s="15">
        <f>VLOOKUP(B189, TEF.MC!$A$1:$G$256, 6, 0)</f>
        <v>3.4983019999999998</v>
      </c>
      <c r="E189">
        <f>VLOOKUP(B189, ACS.MC!$A$1:$G$256, 6, 0)</f>
        <v>31.068144</v>
      </c>
      <c r="F189">
        <f>VLOOKUP(B189, IBE.MC!$A$1:$G$256, 6, 0)</f>
        <v>10.750852</v>
      </c>
      <c r="G189">
        <f>VLOOKUP(B189, IAG.MC!$A$1:$G$256, 6, 0)</f>
        <v>1.9235</v>
      </c>
      <c r="H189">
        <f>VLOOKUP(B189, IBEX35!$A$1:$G$256, 6, 0)</f>
        <v>9434.2998050000006</v>
      </c>
      <c r="J189" s="13">
        <f t="shared" si="17"/>
        <v>-1.5193683527146184E-2</v>
      </c>
      <c r="K189" s="13">
        <f t="shared" si="18"/>
        <v>0</v>
      </c>
      <c r="L189" s="13">
        <f t="shared" si="19"/>
        <v>9.4379092899009374E-4</v>
      </c>
      <c r="M189" s="13">
        <f t="shared" si="20"/>
        <v>-9.1392837760622802E-4</v>
      </c>
      <c r="N189" s="13">
        <f t="shared" si="21"/>
        <v>-1.1629540553600534E-2</v>
      </c>
      <c r="O189" s="13">
        <f t="shared" si="22"/>
        <v>-7.1714077051563043E-3</v>
      </c>
    </row>
    <row r="190" spans="2:15" x14ac:dyDescent="0.2">
      <c r="B190" s="1">
        <v>45148</v>
      </c>
      <c r="C190" s="15">
        <f>VLOOKUP(B190, SAN.MC!$A$1:$G$256, 6, 0)</f>
        <v>3.56473</v>
      </c>
      <c r="D190" s="15">
        <f>VLOOKUP(B190, TEF.MC!$A$1:$G$256, 6, 0)</f>
        <v>3.4983019999999998</v>
      </c>
      <c r="E190">
        <f>VLOOKUP(B190, ACS.MC!$A$1:$G$256, 6, 0)</f>
        <v>31.038836</v>
      </c>
      <c r="F190">
        <f>VLOOKUP(B190, IBE.MC!$A$1:$G$256, 6, 0)</f>
        <v>10.760681999999999</v>
      </c>
      <c r="G190">
        <f>VLOOKUP(B190, IAG.MC!$A$1:$G$256, 6, 0)</f>
        <v>1.946</v>
      </c>
      <c r="H190">
        <f>VLOOKUP(B190, IBEX35!$A$1:$G$256, 6, 0)</f>
        <v>9502.2001949999994</v>
      </c>
      <c r="J190" s="13">
        <f t="shared" si="17"/>
        <v>2.7235207078602688E-2</v>
      </c>
      <c r="K190" s="13">
        <f t="shared" si="18"/>
        <v>1.8609023367848462E-2</v>
      </c>
      <c r="L190" s="13">
        <f t="shared" si="19"/>
        <v>4.1003331295196418E-3</v>
      </c>
      <c r="M190" s="13">
        <f t="shared" si="20"/>
        <v>1.333648907061352E-2</v>
      </c>
      <c r="N190" s="13">
        <f t="shared" si="21"/>
        <v>7.9969470416592654E-3</v>
      </c>
      <c r="O190" s="13">
        <f t="shared" si="22"/>
        <v>1.5676508622678737E-2</v>
      </c>
    </row>
    <row r="191" spans="2:15" x14ac:dyDescent="0.2">
      <c r="B191" s="1">
        <v>45147</v>
      </c>
      <c r="C191" s="15">
        <f>VLOOKUP(B191, SAN.MC!$A$1:$G$256, 6, 0)</f>
        <v>3.4689540000000001</v>
      </c>
      <c r="D191" s="15">
        <f>VLOOKUP(B191, TEF.MC!$A$1:$G$256, 6, 0)</f>
        <v>3.4338039999999999</v>
      </c>
      <c r="E191">
        <f>VLOOKUP(B191, ACS.MC!$A$1:$G$256, 6, 0)</f>
        <v>30.911826999999999</v>
      </c>
      <c r="F191">
        <f>VLOOKUP(B191, IBE.MC!$A$1:$G$256, 6, 0)</f>
        <v>10.618124999999999</v>
      </c>
      <c r="G191">
        <f>VLOOKUP(B191, IAG.MC!$A$1:$G$256, 6, 0)</f>
        <v>1.9305000000000001</v>
      </c>
      <c r="H191">
        <f>VLOOKUP(B191, IBEX35!$A$1:$G$256, 6, 0)</f>
        <v>9354.4003909999992</v>
      </c>
      <c r="J191" s="13">
        <f t="shared" si="17"/>
        <v>7.4939489244392086E-3</v>
      </c>
      <c r="K191" s="13">
        <f t="shared" si="18"/>
        <v>1.4401044831794479E-2</v>
      </c>
      <c r="L191" s="13">
        <f t="shared" si="19"/>
        <v>7.932725720775597E-3</v>
      </c>
      <c r="M191" s="13">
        <f t="shared" si="20"/>
        <v>-3.235445446196146E-3</v>
      </c>
      <c r="N191" s="13">
        <f t="shared" si="21"/>
        <v>-1.312253489047158E-2</v>
      </c>
      <c r="O191" s="13">
        <f t="shared" si="22"/>
        <v>5.6389537879328114E-3</v>
      </c>
    </row>
    <row r="192" spans="2:15" x14ac:dyDescent="0.2">
      <c r="B192" s="1">
        <v>45146</v>
      </c>
      <c r="C192" s="15">
        <f>VLOOKUP(B192, SAN.MC!$A$1:$G$256, 6, 0)</f>
        <v>3.4430550000000002</v>
      </c>
      <c r="D192" s="15">
        <f>VLOOKUP(B192, TEF.MC!$A$1:$G$256, 6, 0)</f>
        <v>3.3847079999999998</v>
      </c>
      <c r="E192">
        <f>VLOOKUP(B192, ACS.MC!$A$1:$G$256, 6, 0)</f>
        <v>30.667581999999999</v>
      </c>
      <c r="F192">
        <f>VLOOKUP(B192, IBE.MC!$A$1:$G$256, 6, 0)</f>
        <v>10.652535</v>
      </c>
      <c r="G192">
        <f>VLOOKUP(B192, IAG.MC!$A$1:$G$256, 6, 0)</f>
        <v>1.956</v>
      </c>
      <c r="H192">
        <f>VLOOKUP(B192, IBEX35!$A$1:$G$256, 6, 0)</f>
        <v>9301.7998050000006</v>
      </c>
      <c r="J192" s="13">
        <f t="shared" si="17"/>
        <v>-2.7437287950682794E-2</v>
      </c>
      <c r="K192" s="13">
        <f t="shared" si="18"/>
        <v>5.6889622813474845E-4</v>
      </c>
      <c r="L192" s="13">
        <f t="shared" si="19"/>
        <v>-1.5915873832433132E-3</v>
      </c>
      <c r="M192" s="13">
        <f t="shared" si="20"/>
        <v>6.4814874725613132E-3</v>
      </c>
      <c r="N192" s="13">
        <f t="shared" si="21"/>
        <v>3.5851510872017488E-3</v>
      </c>
      <c r="O192" s="13">
        <f t="shared" si="22"/>
        <v>-6.0877560185197766E-3</v>
      </c>
    </row>
    <row r="193" spans="2:15" x14ac:dyDescent="0.2">
      <c r="B193" s="1">
        <v>45145</v>
      </c>
      <c r="C193" s="15">
        <f>VLOOKUP(B193, SAN.MC!$A$1:$G$256, 6, 0)</f>
        <v>3.5388310000000001</v>
      </c>
      <c r="D193" s="15">
        <f>VLOOKUP(B193, TEF.MC!$A$1:$G$256, 6, 0)</f>
        <v>3.3827829999999999</v>
      </c>
      <c r="E193">
        <f>VLOOKUP(B193, ACS.MC!$A$1:$G$256, 6, 0)</f>
        <v>30.716431</v>
      </c>
      <c r="F193">
        <f>VLOOKUP(B193, IBE.MC!$A$1:$G$256, 6, 0)</f>
        <v>10.583714000000001</v>
      </c>
      <c r="G193">
        <f>VLOOKUP(B193, IAG.MC!$A$1:$G$256, 6, 0)</f>
        <v>1.9490000000000001</v>
      </c>
      <c r="H193">
        <f>VLOOKUP(B193, IBEX35!$A$1:$G$256, 6, 0)</f>
        <v>9358.5996090000008</v>
      </c>
      <c r="J193" s="13">
        <f t="shared" si="17"/>
        <v>3.4579592492008501E-3</v>
      </c>
      <c r="K193" s="13">
        <f t="shared" si="18"/>
        <v>-5.958358169789321E-3</v>
      </c>
      <c r="L193" s="13">
        <f t="shared" si="19"/>
        <v>2.5478093685536831E-3</v>
      </c>
      <c r="M193" s="13">
        <f t="shared" si="20"/>
        <v>-2.3196491980363408E-3</v>
      </c>
      <c r="N193" s="13">
        <f t="shared" si="21"/>
        <v>4.6284474501869788E-3</v>
      </c>
      <c r="O193" s="13">
        <f t="shared" si="22"/>
        <v>-1.0467007950868009E-3</v>
      </c>
    </row>
    <row r="194" spans="2:15" x14ac:dyDescent="0.2">
      <c r="B194" s="1">
        <v>45142</v>
      </c>
      <c r="C194" s="15">
        <f>VLOOKUP(B194, SAN.MC!$A$1:$G$256, 6, 0)</f>
        <v>3.5266150000000001</v>
      </c>
      <c r="D194" s="15">
        <f>VLOOKUP(B194, TEF.MC!$A$1:$G$256, 6, 0)</f>
        <v>3.4029989999999999</v>
      </c>
      <c r="E194">
        <f>VLOOKUP(B194, ACS.MC!$A$1:$G$256, 6, 0)</f>
        <v>30.638271</v>
      </c>
      <c r="F194">
        <f>VLOOKUP(B194, IBE.MC!$A$1:$G$256, 6, 0)</f>
        <v>10.608293</v>
      </c>
      <c r="G194">
        <f>VLOOKUP(B194, IAG.MC!$A$1:$G$256, 6, 0)</f>
        <v>1.94</v>
      </c>
      <c r="H194">
        <f>VLOOKUP(B194, IBEX35!$A$1:$G$256, 6, 0)</f>
        <v>9368.4003909999992</v>
      </c>
      <c r="J194" s="13">
        <f t="shared" si="17"/>
        <v>6.3942168878260344E-3</v>
      </c>
      <c r="K194" s="13">
        <f t="shared" si="18"/>
        <v>5.3894619416547315E-3</v>
      </c>
      <c r="L194" s="13">
        <f t="shared" si="19"/>
        <v>6.7189504687826329E-3</v>
      </c>
      <c r="M194" s="13">
        <f t="shared" si="20"/>
        <v>3.7140826589239879E-3</v>
      </c>
      <c r="N194" s="13">
        <f t="shared" si="21"/>
        <v>1.4015282617120931E-2</v>
      </c>
      <c r="O194" s="13">
        <f t="shared" si="22"/>
        <v>6.5648579324064519E-3</v>
      </c>
    </row>
    <row r="195" spans="2:15" x14ac:dyDescent="0.2">
      <c r="B195" s="1">
        <v>45141</v>
      </c>
      <c r="C195" s="15">
        <f>VLOOKUP(B195, SAN.MC!$A$1:$G$256, 6, 0)</f>
        <v>3.5041370000000001</v>
      </c>
      <c r="D195" s="15">
        <f>VLOOKUP(B195, TEF.MC!$A$1:$G$256, 6, 0)</f>
        <v>3.3847079999999998</v>
      </c>
      <c r="E195">
        <f>VLOOKUP(B195, ACS.MC!$A$1:$G$256, 6, 0)</f>
        <v>30.433104</v>
      </c>
      <c r="F195">
        <f>VLOOKUP(B195, IBE.MC!$A$1:$G$256, 6, 0)</f>
        <v>10.568966</v>
      </c>
      <c r="G195">
        <f>VLOOKUP(B195, IAG.MC!$A$1:$G$256, 6, 0)</f>
        <v>1.913</v>
      </c>
      <c r="H195">
        <f>VLOOKUP(B195, IBEX35!$A$1:$G$256, 6, 0)</f>
        <v>9307.0996090000008</v>
      </c>
      <c r="J195" s="13">
        <f t="shared" si="17"/>
        <v>1.630857295839876E-2</v>
      </c>
      <c r="K195" s="13">
        <f t="shared" si="18"/>
        <v>-1.1874707072489429E-2</v>
      </c>
      <c r="L195" s="13">
        <f t="shared" si="19"/>
        <v>-8.9485733025185827E-3</v>
      </c>
      <c r="M195" s="13">
        <f t="shared" si="20"/>
        <v>-1.52322970612409E-2</v>
      </c>
      <c r="N195" s="13">
        <f t="shared" si="21"/>
        <v>-1.5045679411017259E-2</v>
      </c>
      <c r="O195" s="13">
        <f t="shared" si="22"/>
        <v>-2.3181828416908904E-3</v>
      </c>
    </row>
    <row r="196" spans="2:15" x14ac:dyDescent="0.2">
      <c r="B196" s="1">
        <v>45140</v>
      </c>
      <c r="C196" s="15">
        <f>VLOOKUP(B196, SAN.MC!$A$1:$G$256, 6, 0)</f>
        <v>3.4474529999999999</v>
      </c>
      <c r="D196" s="15">
        <f>VLOOKUP(B196, TEF.MC!$A$1:$G$256, 6, 0)</f>
        <v>3.4251399999999999</v>
      </c>
      <c r="E196">
        <f>VLOOKUP(B196, ACS.MC!$A$1:$G$256, 6, 0)</f>
        <v>30.706658999999998</v>
      </c>
      <c r="F196">
        <f>VLOOKUP(B196, IBE.MC!$A$1:$G$256, 6, 0)</f>
        <v>10.731188</v>
      </c>
      <c r="G196">
        <f>VLOOKUP(B196, IAG.MC!$A$1:$G$256, 6, 0)</f>
        <v>1.9419999999999999</v>
      </c>
      <c r="H196">
        <f>VLOOKUP(B196, IBEX35!$A$1:$G$256, 6, 0)</f>
        <v>9328.7001949999994</v>
      </c>
      <c r="J196" s="13">
        <f t="shared" si="17"/>
        <v>-2.0066481533863968E-2</v>
      </c>
      <c r="K196" s="13">
        <f t="shared" si="18"/>
        <v>-7.2882558457215987E-2</v>
      </c>
      <c r="L196" s="13">
        <f t="shared" si="19"/>
        <v>-6.6593248723500363E-3</v>
      </c>
      <c r="M196" s="13">
        <f t="shared" si="20"/>
        <v>-2.2645811284801844E-2</v>
      </c>
      <c r="N196" s="13">
        <f t="shared" si="21"/>
        <v>-1.7609233885469967E-2</v>
      </c>
      <c r="O196" s="13">
        <f t="shared" si="22"/>
        <v>-1.8501365748964726E-2</v>
      </c>
    </row>
    <row r="197" spans="2:15" x14ac:dyDescent="0.2">
      <c r="B197" s="1">
        <v>45139</v>
      </c>
      <c r="C197" s="15">
        <f>VLOOKUP(B197, SAN.MC!$A$1:$G$256, 6, 0)</f>
        <v>3.5173299999999998</v>
      </c>
      <c r="D197" s="15">
        <f>VLOOKUP(B197, TEF.MC!$A$1:$G$256, 6, 0)</f>
        <v>3.6840950000000001</v>
      </c>
      <c r="E197">
        <f>VLOOKUP(B197, ACS.MC!$A$1:$G$256, 6, 0)</f>
        <v>30.911826999999999</v>
      </c>
      <c r="F197">
        <f>VLOOKUP(B197, IBE.MC!$A$1:$G$256, 6, 0)</f>
        <v>10.976977</v>
      </c>
      <c r="G197">
        <f>VLOOKUP(B197, IAG.MC!$A$1:$G$256, 6, 0)</f>
        <v>1.9764999999999999</v>
      </c>
      <c r="H197">
        <f>VLOOKUP(B197, IBEX35!$A$1:$G$256, 6, 0)</f>
        <v>9502.9003909999992</v>
      </c>
      <c r="J197" s="13">
        <f t="shared" si="17"/>
        <v>-2.3207499444566539E-2</v>
      </c>
      <c r="K197" s="13">
        <f t="shared" si="18"/>
        <v>-1.2980469118153495E-2</v>
      </c>
      <c r="L197" s="13">
        <f t="shared" si="19"/>
        <v>-4.7296045780993098E-3</v>
      </c>
      <c r="M197" s="13">
        <f t="shared" si="20"/>
        <v>-1.6874261142358488E-2</v>
      </c>
      <c r="N197" s="13">
        <f t="shared" si="21"/>
        <v>-7.5605198849587408E-3</v>
      </c>
      <c r="O197" s="13">
        <f t="shared" si="22"/>
        <v>-1.4479641851117079E-2</v>
      </c>
    </row>
    <row r="198" spans="2:15" x14ac:dyDescent="0.2">
      <c r="B198" s="1">
        <v>45138</v>
      </c>
      <c r="C198" s="15">
        <f>VLOOKUP(B198, SAN.MC!$A$1:$G$256, 6, 0)</f>
        <v>3.5999129999999999</v>
      </c>
      <c r="D198" s="15">
        <f>VLOOKUP(B198, TEF.MC!$A$1:$G$256, 6, 0)</f>
        <v>3.7322280000000001</v>
      </c>
      <c r="E198">
        <f>VLOOKUP(B198, ACS.MC!$A$1:$G$256, 6, 0)</f>
        <v>31.058374000000001</v>
      </c>
      <c r="F198">
        <f>VLOOKUP(B198, IBE.MC!$A$1:$G$256, 6, 0)</f>
        <v>11.163777</v>
      </c>
      <c r="G198">
        <f>VLOOKUP(B198, IAG.MC!$A$1:$G$256, 6, 0)</f>
        <v>1.9915</v>
      </c>
      <c r="H198">
        <f>VLOOKUP(B198, IBEX35!$A$1:$G$256, 6, 0)</f>
        <v>9641.5</v>
      </c>
      <c r="J198" s="13">
        <f t="shared" si="17"/>
        <v>1.6302564007835709E-3</v>
      </c>
      <c r="K198" s="13">
        <f t="shared" si="18"/>
        <v>-1.3323214374902612E-2</v>
      </c>
      <c r="L198" s="13">
        <f t="shared" si="19"/>
        <v>-4.7073727230040755E-3</v>
      </c>
      <c r="M198" s="13">
        <f t="shared" si="20"/>
        <v>-7.4578491527240729E-3</v>
      </c>
      <c r="N198" s="13">
        <f t="shared" si="21"/>
        <v>3.6562937599871788E-2</v>
      </c>
      <c r="O198" s="13">
        <f t="shared" si="22"/>
        <v>-4.5118835020634242E-3</v>
      </c>
    </row>
    <row r="199" spans="2:15" x14ac:dyDescent="0.2">
      <c r="B199" s="1">
        <v>45135</v>
      </c>
      <c r="C199" s="15">
        <f>VLOOKUP(B199, SAN.MC!$A$1:$G$256, 6, 0)</f>
        <v>3.594049</v>
      </c>
      <c r="D199" s="15">
        <f>VLOOKUP(B199, TEF.MC!$A$1:$G$256, 6, 0)</f>
        <v>3.782286</v>
      </c>
      <c r="E199">
        <f>VLOOKUP(B199, ACS.MC!$A$1:$G$256, 6, 0)</f>
        <v>31.204922</v>
      </c>
      <c r="F199">
        <f>VLOOKUP(B199, IBE.MC!$A$1:$G$256, 6, 0)</f>
        <v>11.247346</v>
      </c>
      <c r="G199">
        <f>VLOOKUP(B199, IAG.MC!$A$1:$G$256, 6, 0)</f>
        <v>1.92</v>
      </c>
      <c r="H199">
        <f>VLOOKUP(B199, IBEX35!$A$1:$G$256, 6, 0)</f>
        <v>9685.0996090000008</v>
      </c>
      <c r="J199" s="13">
        <f t="shared" si="17"/>
        <v>-8.2595061384563625E-3</v>
      </c>
      <c r="K199" s="13">
        <f t="shared" si="18"/>
        <v>-5.3306823794572805E-3</v>
      </c>
      <c r="L199" s="13">
        <f t="shared" si="19"/>
        <v>3.13576361358082E-3</v>
      </c>
      <c r="M199" s="13">
        <f t="shared" si="20"/>
        <v>-6.5346381997678001E-3</v>
      </c>
      <c r="N199" s="13">
        <f t="shared" si="21"/>
        <v>5.9550979626532149E-2</v>
      </c>
      <c r="O199" s="13">
        <f t="shared" si="22"/>
        <v>-9.9078286488655512E-4</v>
      </c>
    </row>
    <row r="200" spans="2:15" x14ac:dyDescent="0.2">
      <c r="B200" s="1">
        <v>45134</v>
      </c>
      <c r="C200" s="15">
        <f>VLOOKUP(B200, SAN.MC!$A$1:$G$256, 6, 0)</f>
        <v>3.6238570000000001</v>
      </c>
      <c r="D200" s="15">
        <f>VLOOKUP(B200, TEF.MC!$A$1:$G$256, 6, 0)</f>
        <v>3.802502</v>
      </c>
      <c r="E200">
        <f>VLOOKUP(B200, ACS.MC!$A$1:$G$256, 6, 0)</f>
        <v>31.107223999999999</v>
      </c>
      <c r="F200">
        <f>VLOOKUP(B200, IBE.MC!$A$1:$G$256, 6, 0)</f>
        <v>11.321084000000001</v>
      </c>
      <c r="G200">
        <f>VLOOKUP(B200, IAG.MC!$A$1:$G$256, 6, 0)</f>
        <v>1.8089999999999999</v>
      </c>
      <c r="H200">
        <f>VLOOKUP(B200, IBEX35!$A$1:$G$256, 6, 0)</f>
        <v>9694.7001949999994</v>
      </c>
      <c r="J200" s="13">
        <f t="shared" si="17"/>
        <v>1.6039446765955746E-2</v>
      </c>
      <c r="K200" s="13">
        <f t="shared" si="18"/>
        <v>3.5037183989438878E-2</v>
      </c>
      <c r="L200" s="13">
        <f t="shared" si="19"/>
        <v>9.1497769612815735E-3</v>
      </c>
      <c r="M200" s="13">
        <f t="shared" si="20"/>
        <v>7.4090932943718466E-3</v>
      </c>
      <c r="N200" s="13">
        <f t="shared" si="21"/>
        <v>1.841056184317982E-2</v>
      </c>
      <c r="O200" s="13">
        <f t="shared" si="22"/>
        <v>9.7641840936383926E-3</v>
      </c>
    </row>
    <row r="201" spans="2:15" x14ac:dyDescent="0.2">
      <c r="B201" s="1">
        <v>45133</v>
      </c>
      <c r="C201" s="15">
        <f>VLOOKUP(B201, SAN.MC!$A$1:$G$256, 6, 0)</f>
        <v>3.5661960000000001</v>
      </c>
      <c r="D201" s="15">
        <f>VLOOKUP(B201, TEF.MC!$A$1:$G$256, 6, 0)</f>
        <v>3.6715800000000001</v>
      </c>
      <c r="E201">
        <f>VLOOKUP(B201, ACS.MC!$A$1:$G$256, 6, 0)</f>
        <v>30.823898</v>
      </c>
      <c r="F201">
        <f>VLOOKUP(B201, IBE.MC!$A$1:$G$256, 6, 0)</f>
        <v>11.237515</v>
      </c>
      <c r="G201">
        <f>VLOOKUP(B201, IAG.MC!$A$1:$G$256, 6, 0)</f>
        <v>1.776</v>
      </c>
      <c r="H201">
        <f>VLOOKUP(B201, IBEX35!$A$1:$G$256, 6, 0)</f>
        <v>9600.5</v>
      </c>
      <c r="J201" s="13">
        <f t="shared" si="17"/>
        <v>3.0891515192930739E-2</v>
      </c>
      <c r="K201" s="13">
        <f t="shared" si="18"/>
        <v>1.7189144792774582E-2</v>
      </c>
      <c r="L201" s="13">
        <f t="shared" si="19"/>
        <v>3.1227418499202578E-2</v>
      </c>
      <c r="M201" s="13">
        <f t="shared" si="20"/>
        <v>8.7530950118884054E-4</v>
      </c>
      <c r="N201" s="13">
        <f t="shared" si="21"/>
        <v>2.0765928960118678E-2</v>
      </c>
      <c r="O201" s="13">
        <f t="shared" si="22"/>
        <v>8.5043483071131805E-3</v>
      </c>
    </row>
    <row r="202" spans="2:15" x14ac:dyDescent="0.2">
      <c r="B202" s="1">
        <v>45132</v>
      </c>
      <c r="C202" s="15">
        <f>VLOOKUP(B202, SAN.MC!$A$1:$G$256, 6, 0)</f>
        <v>3.4577149999999999</v>
      </c>
      <c r="D202" s="15">
        <f>VLOOKUP(B202, TEF.MC!$A$1:$G$256, 6, 0)</f>
        <v>3.6090080000000002</v>
      </c>
      <c r="E202">
        <f>VLOOKUP(B202, ACS.MC!$A$1:$G$256, 6, 0)</f>
        <v>29.876221000000001</v>
      </c>
      <c r="F202">
        <f>VLOOKUP(B202, IBE.MC!$A$1:$G$256, 6, 0)</f>
        <v>11.227683000000001</v>
      </c>
      <c r="G202">
        <f>VLOOKUP(B202, IAG.MC!$A$1:$G$256, 6, 0)</f>
        <v>1.7395</v>
      </c>
      <c r="H202">
        <f>VLOOKUP(B202, IBEX35!$A$1:$G$256, 6, 0)</f>
        <v>9519.2001949999994</v>
      </c>
      <c r="J202" s="13">
        <f t="shared" ref="J202:J262" si="23">LN(C202/C203)</f>
        <v>5.1007397221290163E-3</v>
      </c>
      <c r="K202" s="13">
        <f t="shared" ref="K202:K262" si="24">LN(D202/D203)</f>
        <v>-7.4407828767997612E-3</v>
      </c>
      <c r="L202" s="13">
        <f t="shared" ref="L202:L262" si="25">LN(E202/E203)</f>
        <v>4.26023546351058E-3</v>
      </c>
      <c r="M202" s="13">
        <f t="shared" ref="M202:M262" si="26">LN(F202/F203)</f>
        <v>-4.3687285440837317E-3</v>
      </c>
      <c r="N202" s="13">
        <f t="shared" ref="N202:N262" si="27">LN(G202/G203)</f>
        <v>-1.7946643190836713E-2</v>
      </c>
      <c r="O202" s="13">
        <f t="shared" ref="O202:O262" si="28">LN(H202/H203)</f>
        <v>-2.549462344088834E-3</v>
      </c>
    </row>
    <row r="203" spans="2:15" x14ac:dyDescent="0.2">
      <c r="B203" s="1">
        <v>45131</v>
      </c>
      <c r="C203" s="15">
        <f>VLOOKUP(B203, SAN.MC!$A$1:$G$256, 6, 0)</f>
        <v>3.4401229999999998</v>
      </c>
      <c r="D203" s="15">
        <f>VLOOKUP(B203, TEF.MC!$A$1:$G$256, 6, 0)</f>
        <v>3.6359620000000001</v>
      </c>
      <c r="E203">
        <f>VLOOKUP(B203, ACS.MC!$A$1:$G$256, 6, 0)</f>
        <v>29.749212</v>
      </c>
      <c r="F203">
        <f>VLOOKUP(B203, IBE.MC!$A$1:$G$256, 6, 0)</f>
        <v>11.276840999999999</v>
      </c>
      <c r="G203">
        <f>VLOOKUP(B203, IAG.MC!$A$1:$G$256, 6, 0)</f>
        <v>1.7709999999999999</v>
      </c>
      <c r="H203">
        <f>VLOOKUP(B203, IBEX35!$A$1:$G$256, 6, 0)</f>
        <v>9543.5</v>
      </c>
      <c r="J203" s="13">
        <f t="shared" si="23"/>
        <v>-2.4121184295610048E-3</v>
      </c>
      <c r="K203" s="13">
        <f t="shared" si="24"/>
        <v>1.3594884486108537E-2</v>
      </c>
      <c r="L203" s="13">
        <f t="shared" si="25"/>
        <v>-6.872980130764067E-3</v>
      </c>
      <c r="M203" s="13">
        <f t="shared" si="26"/>
        <v>-4.7835889155219344E-3</v>
      </c>
      <c r="N203" s="13">
        <f t="shared" si="27"/>
        <v>-1.3739175883304046E-2</v>
      </c>
      <c r="O203" s="13">
        <f t="shared" si="28"/>
        <v>-2.9296385065642593E-3</v>
      </c>
    </row>
    <row r="204" spans="2:15" x14ac:dyDescent="0.2">
      <c r="B204" s="1">
        <v>45128</v>
      </c>
      <c r="C204" s="15">
        <f>VLOOKUP(B204, SAN.MC!$A$1:$G$256, 6, 0)</f>
        <v>3.4484309999999998</v>
      </c>
      <c r="D204" s="15">
        <f>VLOOKUP(B204, TEF.MC!$A$1:$G$256, 6, 0)</f>
        <v>3.5868660000000001</v>
      </c>
      <c r="E204">
        <f>VLOOKUP(B204, ACS.MC!$A$1:$G$256, 6, 0)</f>
        <v>29.954381999999999</v>
      </c>
      <c r="F204">
        <f>VLOOKUP(B204, IBE.MC!$A$1:$G$256, 6, 0)</f>
        <v>11.330914</v>
      </c>
      <c r="G204">
        <f>VLOOKUP(B204, IAG.MC!$A$1:$G$256, 6, 0)</f>
        <v>1.7955000000000001</v>
      </c>
      <c r="H204">
        <f>VLOOKUP(B204, IBEX35!$A$1:$G$256, 6, 0)</f>
        <v>9571.5</v>
      </c>
      <c r="J204" s="13">
        <f t="shared" si="23"/>
        <v>9.9253777056887015E-4</v>
      </c>
      <c r="K204" s="13">
        <f t="shared" si="24"/>
        <v>9.9797497252828837E-3</v>
      </c>
      <c r="L204" s="13">
        <f t="shared" si="25"/>
        <v>-4.5557500711559699E-3</v>
      </c>
      <c r="M204" s="13">
        <f t="shared" si="26"/>
        <v>1.4420056648623419E-2</v>
      </c>
      <c r="N204" s="13">
        <f t="shared" si="27"/>
        <v>5.8651194523982788E-3</v>
      </c>
      <c r="O204" s="13">
        <f t="shared" si="28"/>
        <v>5.4371429537087229E-3</v>
      </c>
    </row>
    <row r="205" spans="2:15" x14ac:dyDescent="0.2">
      <c r="B205" s="1">
        <v>45127</v>
      </c>
      <c r="C205" s="15">
        <f>VLOOKUP(B205, SAN.MC!$A$1:$G$256, 6, 0)</f>
        <v>3.4450099999999999</v>
      </c>
      <c r="D205" s="15">
        <f>VLOOKUP(B205, TEF.MC!$A$1:$G$256, 6, 0)</f>
        <v>3.5512480000000002</v>
      </c>
      <c r="E205">
        <f>VLOOKUP(B205, ACS.MC!$A$1:$G$256, 6, 0)</f>
        <v>30.091158</v>
      </c>
      <c r="F205">
        <f>VLOOKUP(B205, IBE.MC!$A$1:$G$256, 6, 0)</f>
        <v>11.168694</v>
      </c>
      <c r="G205">
        <f>VLOOKUP(B205, IAG.MC!$A$1:$G$256, 6, 0)</f>
        <v>1.7849999999999999</v>
      </c>
      <c r="H205">
        <f>VLOOKUP(B205, IBEX35!$A$1:$G$256, 6, 0)</f>
        <v>9519.5996090000008</v>
      </c>
      <c r="J205" s="13">
        <f t="shared" si="23"/>
        <v>7.6892613167996752E-3</v>
      </c>
      <c r="K205" s="13">
        <f t="shared" si="24"/>
        <v>1.3097158314501502E-2</v>
      </c>
      <c r="L205" s="13">
        <f t="shared" si="25"/>
        <v>1.6366983386802997E-2</v>
      </c>
      <c r="M205" s="13">
        <f t="shared" si="26"/>
        <v>1.6866769271082039E-2</v>
      </c>
      <c r="N205" s="13">
        <f t="shared" si="27"/>
        <v>-1.1696039763191298E-2</v>
      </c>
      <c r="O205" s="13">
        <f t="shared" si="28"/>
        <v>7.1476111138153242E-3</v>
      </c>
    </row>
    <row r="206" spans="2:15" x14ac:dyDescent="0.2">
      <c r="B206" s="1">
        <v>45126</v>
      </c>
      <c r="C206" s="15">
        <f>VLOOKUP(B206, SAN.MC!$A$1:$G$256, 6, 0)</f>
        <v>3.418622</v>
      </c>
      <c r="D206" s="15">
        <f>VLOOKUP(B206, TEF.MC!$A$1:$G$256, 6, 0)</f>
        <v>3.5050400000000002</v>
      </c>
      <c r="E206">
        <f>VLOOKUP(B206, ACS.MC!$A$1:$G$256, 6, 0)</f>
        <v>29.602664999999998</v>
      </c>
      <c r="F206">
        <f>VLOOKUP(B206, IBE.MC!$A$1:$G$256, 6, 0)</f>
        <v>10.981894</v>
      </c>
      <c r="G206">
        <f>VLOOKUP(B206, IAG.MC!$A$1:$G$256, 6, 0)</f>
        <v>1.806</v>
      </c>
      <c r="H206">
        <f>VLOOKUP(B206, IBEX35!$A$1:$G$256, 6, 0)</f>
        <v>9451.7998050000006</v>
      </c>
      <c r="J206" s="13">
        <f t="shared" si="23"/>
        <v>-3.4247508861360975E-3</v>
      </c>
      <c r="K206" s="13">
        <f t="shared" si="24"/>
        <v>5.5080890076221216E-3</v>
      </c>
      <c r="L206" s="13">
        <f t="shared" si="25"/>
        <v>1.8654772846357203E-2</v>
      </c>
      <c r="M206" s="13">
        <f t="shared" si="26"/>
        <v>-8.9480031996072248E-4</v>
      </c>
      <c r="N206" s="13">
        <f t="shared" si="27"/>
        <v>9.1782037708501643E-3</v>
      </c>
      <c r="O206" s="13">
        <f t="shared" si="28"/>
        <v>-4.1257596777214295E-4</v>
      </c>
    </row>
    <row r="207" spans="2:15" x14ac:dyDescent="0.2">
      <c r="B207" s="1">
        <v>45125</v>
      </c>
      <c r="C207" s="15">
        <f>VLOOKUP(B207, SAN.MC!$A$1:$G$256, 6, 0)</f>
        <v>3.4303499999999998</v>
      </c>
      <c r="D207" s="15">
        <f>VLOOKUP(B207, TEF.MC!$A$1:$G$256, 6, 0)</f>
        <v>3.4857870000000002</v>
      </c>
      <c r="E207">
        <f>VLOOKUP(B207, ACS.MC!$A$1:$G$256, 6, 0)</f>
        <v>29.055553</v>
      </c>
      <c r="F207">
        <f>VLOOKUP(B207, IBE.MC!$A$1:$G$256, 6, 0)</f>
        <v>10.991725000000001</v>
      </c>
      <c r="G207">
        <f>VLOOKUP(B207, IAG.MC!$A$1:$G$256, 6, 0)</f>
        <v>1.7895000000000001</v>
      </c>
      <c r="H207">
        <f>VLOOKUP(B207, IBEX35!$A$1:$G$256, 6, 0)</f>
        <v>9455.7001949999994</v>
      </c>
      <c r="J207" s="13">
        <f t="shared" si="23"/>
        <v>1.7676558055607566E-2</v>
      </c>
      <c r="K207" s="13">
        <f t="shared" si="24"/>
        <v>-1.1805408168565156E-2</v>
      </c>
      <c r="L207" s="13">
        <f t="shared" si="25"/>
        <v>3.3681211198319837E-3</v>
      </c>
      <c r="M207" s="13">
        <f t="shared" si="26"/>
        <v>-3.5714879920039759E-3</v>
      </c>
      <c r="N207" s="13">
        <f t="shared" si="27"/>
        <v>-8.0701704164884893E-3</v>
      </c>
      <c r="O207" s="13">
        <f t="shared" si="28"/>
        <v>1.8736615904265577E-3</v>
      </c>
    </row>
    <row r="208" spans="2:15" x14ac:dyDescent="0.2">
      <c r="B208" s="1">
        <v>45124</v>
      </c>
      <c r="C208" s="15">
        <f>VLOOKUP(B208, SAN.MC!$A$1:$G$256, 6, 0)</f>
        <v>3.3702459999999999</v>
      </c>
      <c r="D208" s="15">
        <f>VLOOKUP(B208, TEF.MC!$A$1:$G$256, 6, 0)</f>
        <v>3.5271819999999998</v>
      </c>
      <c r="E208">
        <f>VLOOKUP(B208, ACS.MC!$A$1:$G$256, 6, 0)</f>
        <v>28.957854999999999</v>
      </c>
      <c r="F208">
        <f>VLOOKUP(B208, IBE.MC!$A$1:$G$256, 6, 0)</f>
        <v>11.031052000000001</v>
      </c>
      <c r="G208">
        <f>VLOOKUP(B208, IAG.MC!$A$1:$G$256, 6, 0)</f>
        <v>1.804</v>
      </c>
      <c r="H208">
        <f>VLOOKUP(B208, IBEX35!$A$1:$G$256, 6, 0)</f>
        <v>9438</v>
      </c>
      <c r="J208" s="13">
        <f t="shared" si="23"/>
        <v>-3.47382395535739E-3</v>
      </c>
      <c r="K208" s="13">
        <f t="shared" si="24"/>
        <v>2.7331058612124846E-3</v>
      </c>
      <c r="L208" s="13">
        <f t="shared" si="25"/>
        <v>-4.0404343227471943E-3</v>
      </c>
      <c r="M208" s="13">
        <f t="shared" si="26"/>
        <v>-8.4312735560427721E-3</v>
      </c>
      <c r="N208" s="13">
        <f t="shared" si="27"/>
        <v>-5.5417014441230036E-4</v>
      </c>
      <c r="O208" s="13">
        <f t="shared" si="28"/>
        <v>-3.1765229745596006E-5</v>
      </c>
    </row>
    <row r="209" spans="2:15" x14ac:dyDescent="0.2">
      <c r="B209" s="1">
        <v>45121</v>
      </c>
      <c r="C209" s="15">
        <f>VLOOKUP(B209, SAN.MC!$A$1:$G$256, 6, 0)</f>
        <v>3.381974</v>
      </c>
      <c r="D209" s="15">
        <f>VLOOKUP(B209, TEF.MC!$A$1:$G$256, 6, 0)</f>
        <v>3.5175550000000002</v>
      </c>
      <c r="E209">
        <f>VLOOKUP(B209, ACS.MC!$A$1:$G$256, 6, 0)</f>
        <v>29.075094</v>
      </c>
      <c r="F209">
        <f>VLOOKUP(B209, IBE.MC!$A$1:$G$256, 6, 0)</f>
        <v>11.124451000000001</v>
      </c>
      <c r="G209">
        <f>VLOOKUP(B209, IAG.MC!$A$1:$G$256, 6, 0)</f>
        <v>1.8049999999999999</v>
      </c>
      <c r="H209">
        <f>VLOOKUP(B209, IBEX35!$A$1:$G$256, 6, 0)</f>
        <v>9438.2998050000006</v>
      </c>
      <c r="J209" s="13">
        <f t="shared" si="23"/>
        <v>-8.6318356227945044E-3</v>
      </c>
      <c r="K209" s="13">
        <f t="shared" si="24"/>
        <v>-5.4710543517729794E-4</v>
      </c>
      <c r="L209" s="13">
        <f t="shared" si="25"/>
        <v>-7.3652878032235344E-3</v>
      </c>
      <c r="M209" s="13">
        <f t="shared" si="26"/>
        <v>-3.0885019075417453E-3</v>
      </c>
      <c r="N209" s="13">
        <f t="shared" si="27"/>
        <v>-1.3208777623884465E-2</v>
      </c>
      <c r="O209" s="13">
        <f t="shared" si="28"/>
        <v>-4.2713381004543735E-3</v>
      </c>
    </row>
    <row r="210" spans="2:15" x14ac:dyDescent="0.2">
      <c r="B210" s="1">
        <v>45120</v>
      </c>
      <c r="C210" s="15">
        <f>VLOOKUP(B210, SAN.MC!$A$1:$G$256, 6, 0)</f>
        <v>3.4112930000000001</v>
      </c>
      <c r="D210" s="15">
        <f>VLOOKUP(B210, TEF.MC!$A$1:$G$256, 6, 0)</f>
        <v>3.5194800000000002</v>
      </c>
      <c r="E210">
        <f>VLOOKUP(B210, ACS.MC!$A$1:$G$256, 6, 0)</f>
        <v>29.290030999999999</v>
      </c>
      <c r="F210">
        <f>VLOOKUP(B210, IBE.MC!$A$1:$G$256, 6, 0)</f>
        <v>11.158861999999999</v>
      </c>
      <c r="G210">
        <f>VLOOKUP(B210, IAG.MC!$A$1:$G$256, 6, 0)</f>
        <v>1.829</v>
      </c>
      <c r="H210">
        <f>VLOOKUP(B210, IBEX35!$A$1:$G$256, 6, 0)</f>
        <v>9478.7001949999994</v>
      </c>
      <c r="J210" s="13">
        <f t="shared" si="23"/>
        <v>4.8824871591805112E-3</v>
      </c>
      <c r="K210" s="13">
        <f t="shared" si="24"/>
        <v>-1.0935975376315068E-3</v>
      </c>
      <c r="L210" s="13">
        <f t="shared" si="25"/>
        <v>-5.9860700037317012E-3</v>
      </c>
      <c r="M210" s="13">
        <f t="shared" si="26"/>
        <v>9.2940895019243373E-3</v>
      </c>
      <c r="N210" s="13">
        <f t="shared" si="27"/>
        <v>-1.91178536994089E-3</v>
      </c>
      <c r="O210" s="13">
        <f t="shared" si="28"/>
        <v>2.6409767399541576E-3</v>
      </c>
    </row>
    <row r="211" spans="2:15" x14ac:dyDescent="0.2">
      <c r="B211" s="1">
        <v>45119</v>
      </c>
      <c r="C211" s="15">
        <f>VLOOKUP(B211, SAN.MC!$A$1:$G$256, 6, 0)</f>
        <v>3.3946779999999999</v>
      </c>
      <c r="D211" s="15">
        <f>VLOOKUP(B211, TEF.MC!$A$1:$G$256, 6, 0)</f>
        <v>3.5233310000000002</v>
      </c>
      <c r="E211">
        <f>VLOOKUP(B211, ACS.MC!$A$1:$G$256, 6, 0)</f>
        <v>29.465889000000001</v>
      </c>
      <c r="F211">
        <f>VLOOKUP(B211, IBE.MC!$A$1:$G$256, 6, 0)</f>
        <v>11.055631</v>
      </c>
      <c r="G211">
        <f>VLOOKUP(B211, IAG.MC!$A$1:$G$256, 6, 0)</f>
        <v>1.8325</v>
      </c>
      <c r="H211">
        <f>VLOOKUP(B211, IBEX35!$A$1:$G$256, 6, 0)</f>
        <v>9453.7001949999994</v>
      </c>
      <c r="J211" s="13">
        <f t="shared" si="23"/>
        <v>4.0839755321745733E-2</v>
      </c>
      <c r="K211" s="13">
        <f t="shared" si="24"/>
        <v>1.1541855988985647E-2</v>
      </c>
      <c r="L211" s="13">
        <f t="shared" si="25"/>
        <v>3.6539357019383365E-3</v>
      </c>
      <c r="M211" s="13">
        <f t="shared" si="26"/>
        <v>1.0279477946239381E-2</v>
      </c>
      <c r="N211" s="13">
        <f t="shared" si="27"/>
        <v>-2.71850948963459E-2</v>
      </c>
      <c r="O211" s="13">
        <f t="shared" si="28"/>
        <v>1.3053354637912089E-2</v>
      </c>
    </row>
    <row r="212" spans="2:15" x14ac:dyDescent="0.2">
      <c r="B212" s="1">
        <v>45118</v>
      </c>
      <c r="C212" s="15">
        <f>VLOOKUP(B212, SAN.MC!$A$1:$G$256, 6, 0)</f>
        <v>3.2588330000000001</v>
      </c>
      <c r="D212" s="15">
        <f>VLOOKUP(B212, TEF.MC!$A$1:$G$256, 6, 0)</f>
        <v>3.4828990000000002</v>
      </c>
      <c r="E212">
        <f>VLOOKUP(B212, ACS.MC!$A$1:$G$256, 6, 0)</f>
        <v>29.358419000000001</v>
      </c>
      <c r="F212">
        <f>VLOOKUP(B212, IBE.MC!$A$1:$G$256, 6, 0)</f>
        <v>10.942567</v>
      </c>
      <c r="G212">
        <f>VLOOKUP(B212, IAG.MC!$A$1:$G$256, 6, 0)</f>
        <v>1.883</v>
      </c>
      <c r="H212">
        <f>VLOOKUP(B212, IBEX35!$A$1:$G$256, 6, 0)</f>
        <v>9331.0996090000008</v>
      </c>
      <c r="J212" s="13">
        <f t="shared" si="23"/>
        <v>1.7699730528569806E-2</v>
      </c>
      <c r="K212" s="13">
        <f t="shared" si="24"/>
        <v>-8.2885070882418349E-4</v>
      </c>
      <c r="L212" s="13">
        <f t="shared" si="25"/>
        <v>1.4750460476096112E-2</v>
      </c>
      <c r="M212" s="13">
        <f t="shared" si="26"/>
        <v>0</v>
      </c>
      <c r="N212" s="13">
        <f t="shared" si="27"/>
        <v>7.4627212015895943E-3</v>
      </c>
      <c r="O212" s="13">
        <f t="shared" si="28"/>
        <v>8.4158070967531324E-3</v>
      </c>
    </row>
    <row r="213" spans="2:15" x14ac:dyDescent="0.2">
      <c r="B213" s="1">
        <v>45117</v>
      </c>
      <c r="C213" s="15">
        <f>VLOOKUP(B213, SAN.MC!$A$1:$G$256, 6, 0)</f>
        <v>3.20166</v>
      </c>
      <c r="D213" s="15">
        <f>VLOOKUP(B213, TEF.MC!$A$1:$G$256, 6, 0)</f>
        <v>3.4857870000000002</v>
      </c>
      <c r="E213">
        <f>VLOOKUP(B213, ACS.MC!$A$1:$G$256, 6, 0)</f>
        <v>28.928546999999998</v>
      </c>
      <c r="F213">
        <f>VLOOKUP(B213, IBE.MC!$A$1:$G$256, 6, 0)</f>
        <v>10.942567</v>
      </c>
      <c r="G213">
        <f>VLOOKUP(B213, IAG.MC!$A$1:$G$256, 6, 0)</f>
        <v>1.869</v>
      </c>
      <c r="H213">
        <f>VLOOKUP(B213, IBEX35!$A$1:$G$256, 6, 0)</f>
        <v>9252.9003909999992</v>
      </c>
      <c r="J213" s="13">
        <f t="shared" si="23"/>
        <v>3.6698253462828009E-3</v>
      </c>
      <c r="K213" s="13">
        <f t="shared" si="24"/>
        <v>-2.7579799241637479E-3</v>
      </c>
      <c r="L213" s="13">
        <f t="shared" si="25"/>
        <v>6.4374865822273818E-3</v>
      </c>
      <c r="M213" s="13">
        <f t="shared" si="26"/>
        <v>-4.9294495496309361E-3</v>
      </c>
      <c r="N213" s="13">
        <f t="shared" si="27"/>
        <v>1.3737589781363649E-2</v>
      </c>
      <c r="O213" s="13">
        <f t="shared" si="28"/>
        <v>4.4326586461794379E-4</v>
      </c>
    </row>
    <row r="214" spans="2:15" x14ac:dyDescent="0.2">
      <c r="B214" s="1">
        <v>45114</v>
      </c>
      <c r="C214" s="15">
        <f>VLOOKUP(B214, SAN.MC!$A$1:$G$256, 6, 0)</f>
        <v>3.1899320000000002</v>
      </c>
      <c r="D214" s="15">
        <f>VLOOKUP(B214, TEF.MC!$A$1:$G$256, 6, 0)</f>
        <v>3.4954139999999998</v>
      </c>
      <c r="E214">
        <f>VLOOKUP(B214, ACS.MC!$A$1:$G$256, 6, 0)</f>
        <v>28.742918</v>
      </c>
      <c r="F214">
        <f>VLOOKUP(B214, IBE.MC!$A$1:$G$256, 6, 0)</f>
        <v>10.996641</v>
      </c>
      <c r="G214">
        <f>VLOOKUP(B214, IAG.MC!$A$1:$G$256, 6, 0)</f>
        <v>1.8434999999999999</v>
      </c>
      <c r="H214">
        <f>VLOOKUP(B214, IBEX35!$A$1:$G$256, 6, 0)</f>
        <v>9248.7998050000006</v>
      </c>
      <c r="J214" s="13">
        <f t="shared" si="23"/>
        <v>5.99202491730554E-3</v>
      </c>
      <c r="K214" s="13">
        <f t="shared" si="24"/>
        <v>-1.1500768184616497E-2</v>
      </c>
      <c r="L214" s="13">
        <f t="shared" si="25"/>
        <v>6.4791264328695189E-3</v>
      </c>
      <c r="M214" s="13">
        <f t="shared" si="26"/>
        <v>-1.6316813603651545E-2</v>
      </c>
      <c r="N214" s="13">
        <f t="shared" si="27"/>
        <v>1.4754366012942546E-2</v>
      </c>
      <c r="O214" s="13">
        <f t="shared" si="28"/>
        <v>-3.9064025095106591E-3</v>
      </c>
    </row>
    <row r="215" spans="2:15" x14ac:dyDescent="0.2">
      <c r="B215" s="1">
        <v>45113</v>
      </c>
      <c r="C215" s="15">
        <f>VLOOKUP(B215, SAN.MC!$A$1:$G$256, 6, 0)</f>
        <v>3.1708750000000001</v>
      </c>
      <c r="D215" s="15">
        <f>VLOOKUP(B215, TEF.MC!$A$1:$G$256, 6, 0)</f>
        <v>3.5358459999999998</v>
      </c>
      <c r="E215">
        <f>VLOOKUP(B215, ACS.MC!$A$1:$G$256, 6, 0)</f>
        <v>28.557290999999999</v>
      </c>
      <c r="F215">
        <f>VLOOKUP(B215, IBE.MC!$A$1:$G$256, 6, 0)</f>
        <v>11.177543</v>
      </c>
      <c r="G215">
        <f>VLOOKUP(B215, IAG.MC!$A$1:$G$256, 6, 0)</f>
        <v>1.8165</v>
      </c>
      <c r="H215">
        <f>VLOOKUP(B215, IBEX35!$A$1:$G$256, 6, 0)</f>
        <v>9285</v>
      </c>
      <c r="J215" s="13">
        <f t="shared" si="23"/>
        <v>-3.1252635689283235E-2</v>
      </c>
      <c r="K215" s="13">
        <f t="shared" si="24"/>
        <v>-1.6738815497859473E-2</v>
      </c>
      <c r="L215" s="13">
        <f t="shared" si="25"/>
        <v>-1.9648339350423712E-2</v>
      </c>
      <c r="M215" s="13">
        <f t="shared" si="26"/>
        <v>-1.2332627832242564E-2</v>
      </c>
      <c r="N215" s="13">
        <f t="shared" si="27"/>
        <v>-4.230726585527015E-2</v>
      </c>
      <c r="O215" s="13">
        <f t="shared" si="28"/>
        <v>-2.1448437148131005E-2</v>
      </c>
    </row>
    <row r="216" spans="2:15" x14ac:dyDescent="0.2">
      <c r="B216" s="1">
        <v>45112</v>
      </c>
      <c r="C216" s="15">
        <f>VLOOKUP(B216, SAN.MC!$A$1:$G$256, 6, 0)</f>
        <v>3.2715380000000001</v>
      </c>
      <c r="D216" s="15">
        <f>VLOOKUP(B216, TEF.MC!$A$1:$G$256, 6, 0)</f>
        <v>3.5955300000000001</v>
      </c>
      <c r="E216">
        <f>VLOOKUP(B216, ACS.MC!$A$1:$G$256, 6, 0)</f>
        <v>29.123943000000001</v>
      </c>
      <c r="F216">
        <f>VLOOKUP(B216, IBE.MC!$A$1:$G$256, 6, 0)</f>
        <v>11.316245</v>
      </c>
      <c r="G216">
        <f>VLOOKUP(B216, IAG.MC!$A$1:$G$256, 6, 0)</f>
        <v>1.895</v>
      </c>
      <c r="H216">
        <f>VLOOKUP(B216, IBEX35!$A$1:$G$256, 6, 0)</f>
        <v>9486.2998050000006</v>
      </c>
      <c r="J216" s="13">
        <f t="shared" si="23"/>
        <v>-9.8097809068875292E-3</v>
      </c>
      <c r="K216" s="13">
        <f t="shared" si="24"/>
        <v>-4.8077415858166252E-3</v>
      </c>
      <c r="L216" s="13">
        <f t="shared" si="25"/>
        <v>-1.0345442244330545E-2</v>
      </c>
      <c r="M216" s="13">
        <f t="shared" si="26"/>
        <v>-2.7924335183455683E-2</v>
      </c>
      <c r="N216" s="13">
        <f t="shared" si="27"/>
        <v>-6.5746456420853567E-3</v>
      </c>
      <c r="O216" s="13">
        <f t="shared" si="28"/>
        <v>-1.0705443342757678E-2</v>
      </c>
    </row>
    <row r="217" spans="2:15" x14ac:dyDescent="0.2">
      <c r="B217" s="1">
        <v>45111</v>
      </c>
      <c r="C217" s="15">
        <f>VLOOKUP(B217, SAN.MC!$A$1:$G$256, 6, 0)</f>
        <v>3.3037890000000001</v>
      </c>
      <c r="D217" s="15">
        <f>VLOOKUP(B217, TEF.MC!$A$1:$G$256, 6, 0)</f>
        <v>3.6128580000000001</v>
      </c>
      <c r="E217">
        <f>VLOOKUP(B217, ACS.MC!$A$1:$G$256, 6, 0)</f>
        <v>29.426807</v>
      </c>
      <c r="F217">
        <f>VLOOKUP(B217, IBE.MC!$A$1:$G$256, 6, 0)</f>
        <v>11.636697</v>
      </c>
      <c r="G217">
        <f>VLOOKUP(B217, IAG.MC!$A$1:$G$256, 6, 0)</f>
        <v>1.9075</v>
      </c>
      <c r="H217">
        <f>VLOOKUP(B217, IBEX35!$A$1:$G$256, 6, 0)</f>
        <v>9588.4003909999992</v>
      </c>
      <c r="J217" s="13">
        <f t="shared" si="23"/>
        <v>-1.7447899225896724E-2</v>
      </c>
      <c r="K217" s="13">
        <f t="shared" si="24"/>
        <v>-6.3745763410589205E-3</v>
      </c>
      <c r="L217" s="13">
        <f t="shared" si="25"/>
        <v>-4.9931195481264E-3</v>
      </c>
      <c r="M217" s="13">
        <f t="shared" si="26"/>
        <v>1.6453761029583322E-3</v>
      </c>
      <c r="N217" s="13">
        <f t="shared" si="27"/>
        <v>3.1504357902977982E-3</v>
      </c>
      <c r="O217" s="13">
        <f t="shared" si="28"/>
        <v>-5.8648144962780372E-3</v>
      </c>
    </row>
    <row r="218" spans="2:15" x14ac:dyDescent="0.2">
      <c r="B218" s="1">
        <v>45110</v>
      </c>
      <c r="C218" s="15">
        <f>VLOOKUP(B218, SAN.MC!$A$1:$G$256, 6, 0)</f>
        <v>3.361939</v>
      </c>
      <c r="D218" s="15">
        <f>VLOOKUP(B218, TEF.MC!$A$1:$G$256, 6, 0)</f>
        <v>3.6359620000000001</v>
      </c>
      <c r="E218">
        <f>VLOOKUP(B218, ACS.MC!$A$1:$G$256, 6, 0)</f>
        <v>29.574106</v>
      </c>
      <c r="F218">
        <f>VLOOKUP(B218, IBE.MC!$A$1:$G$256, 6, 0)</f>
        <v>11.617566</v>
      </c>
      <c r="G218">
        <f>VLOOKUP(B218, IAG.MC!$A$1:$G$256, 6, 0)</f>
        <v>1.9015</v>
      </c>
      <c r="H218">
        <f>VLOOKUP(B218, IBEX35!$A$1:$G$256, 6, 0)</f>
        <v>9644.7998050000006</v>
      </c>
      <c r="J218" s="13">
        <f t="shared" si="23"/>
        <v>1.6117585671035762E-2</v>
      </c>
      <c r="K218" s="13">
        <f t="shared" si="24"/>
        <v>1.6282171858142448E-2</v>
      </c>
      <c r="L218" s="13">
        <f t="shared" si="25"/>
        <v>-1.2511906013459218E-2</v>
      </c>
      <c r="M218" s="13">
        <f t="shared" si="26"/>
        <v>1.6186413119418881E-2</v>
      </c>
      <c r="N218" s="13">
        <f t="shared" si="27"/>
        <v>7.654781999764093E-3</v>
      </c>
      <c r="O218" s="13">
        <f t="shared" si="28"/>
        <v>5.3852239560253177E-3</v>
      </c>
    </row>
    <row r="219" spans="2:15" x14ac:dyDescent="0.2">
      <c r="B219" s="1">
        <v>45107</v>
      </c>
      <c r="C219" s="15">
        <f>VLOOKUP(B219, SAN.MC!$A$1:$G$256, 6, 0)</f>
        <v>3.3081870000000002</v>
      </c>
      <c r="D219" s="15">
        <f>VLOOKUP(B219, TEF.MC!$A$1:$G$256, 6, 0)</f>
        <v>3.5772400000000002</v>
      </c>
      <c r="E219">
        <f>VLOOKUP(B219, ACS.MC!$A$1:$G$256, 6, 0)</f>
        <v>29.946459000000001</v>
      </c>
      <c r="F219">
        <f>VLOOKUP(B219, IBE.MC!$A$1:$G$256, 6, 0)</f>
        <v>11.431032999999999</v>
      </c>
      <c r="G219">
        <f>VLOOKUP(B219, IAG.MC!$A$1:$G$256, 6, 0)</f>
        <v>1.887</v>
      </c>
      <c r="H219">
        <f>VLOOKUP(B219, IBEX35!$A$1:$G$256, 6, 0)</f>
        <v>9593</v>
      </c>
      <c r="J219" s="13">
        <f t="shared" si="23"/>
        <v>1.2934131911599499E-2</v>
      </c>
      <c r="K219" s="13">
        <f t="shared" si="24"/>
        <v>7.5636714023099311E-3</v>
      </c>
      <c r="L219" s="13">
        <f t="shared" si="25"/>
        <v>1.4402269423470828E-2</v>
      </c>
      <c r="M219" s="13">
        <f t="shared" si="26"/>
        <v>7.981618742868209E-3</v>
      </c>
      <c r="N219" s="13">
        <f t="shared" si="27"/>
        <v>-2.6493575462949615E-4</v>
      </c>
      <c r="O219" s="13">
        <f t="shared" si="28"/>
        <v>8.6267408980687799E-3</v>
      </c>
    </row>
    <row r="220" spans="2:15" x14ac:dyDescent="0.2">
      <c r="B220" s="1">
        <v>45106</v>
      </c>
      <c r="C220" s="15">
        <f>VLOOKUP(B220, SAN.MC!$A$1:$G$256, 6, 0)</f>
        <v>3.2656740000000002</v>
      </c>
      <c r="D220" s="15">
        <f>VLOOKUP(B220, TEF.MC!$A$1:$G$256, 6, 0)</f>
        <v>3.5502850000000001</v>
      </c>
      <c r="E220">
        <f>VLOOKUP(B220, ACS.MC!$A$1:$G$256, 6, 0)</f>
        <v>29.518253000000001</v>
      </c>
      <c r="F220">
        <f>VLOOKUP(B220, IBE.MC!$A$1:$G$256, 6, 0)</f>
        <v>11.340158000000001</v>
      </c>
      <c r="G220">
        <f>VLOOKUP(B220, IAG.MC!$A$1:$G$256, 6, 0)</f>
        <v>1.8875</v>
      </c>
      <c r="H220">
        <f>VLOOKUP(B220, IBEX35!$A$1:$G$256, 6, 0)</f>
        <v>9510.5996090000008</v>
      </c>
      <c r="J220" s="13">
        <f t="shared" si="23"/>
        <v>9.4715581232719011E-3</v>
      </c>
      <c r="K220" s="13">
        <f t="shared" si="24"/>
        <v>7.6210329929011569E-3</v>
      </c>
      <c r="L220" s="13">
        <f t="shared" si="25"/>
        <v>8.5510864653929562E-3</v>
      </c>
      <c r="M220" s="13">
        <f t="shared" si="26"/>
        <v>-1.2645264349164321E-3</v>
      </c>
      <c r="N220" s="13">
        <f t="shared" si="27"/>
        <v>0</v>
      </c>
      <c r="O220" s="13">
        <f t="shared" si="28"/>
        <v>3.0855078374925813E-3</v>
      </c>
    </row>
    <row r="221" spans="2:15" x14ac:dyDescent="0.2">
      <c r="B221" s="1">
        <v>45105</v>
      </c>
      <c r="C221" s="15">
        <f>VLOOKUP(B221, SAN.MC!$A$1:$G$256, 6, 0)</f>
        <v>3.2348889999999999</v>
      </c>
      <c r="D221" s="15">
        <f>VLOOKUP(B221, TEF.MC!$A$1:$G$256, 6, 0)</f>
        <v>3.5233310000000002</v>
      </c>
      <c r="E221">
        <f>VLOOKUP(B221, ACS.MC!$A$1:$G$256, 6, 0)</f>
        <v>29.266915999999998</v>
      </c>
      <c r="F221">
        <f>VLOOKUP(B221, IBE.MC!$A$1:$G$256, 6, 0)</f>
        <v>11.354507</v>
      </c>
      <c r="G221">
        <f>VLOOKUP(B221, IAG.MC!$A$1:$G$256, 6, 0)</f>
        <v>1.8875</v>
      </c>
      <c r="H221">
        <f>VLOOKUP(B221, IBEX35!$A$1:$G$256, 6, 0)</f>
        <v>9481.2998050000006</v>
      </c>
      <c r="J221" s="13">
        <f t="shared" si="23"/>
        <v>3.5204699525812871E-2</v>
      </c>
      <c r="K221" s="13">
        <f t="shared" si="24"/>
        <v>2.7360972357890622E-3</v>
      </c>
      <c r="L221" s="13">
        <f t="shared" si="25"/>
        <v>4.7824362189422317E-3</v>
      </c>
      <c r="M221" s="13">
        <f t="shared" si="26"/>
        <v>6.7624282620068659E-3</v>
      </c>
      <c r="N221" s="13">
        <f t="shared" si="27"/>
        <v>4.7796161091562036E-3</v>
      </c>
      <c r="O221" s="13">
        <f t="shared" si="28"/>
        <v>9.3566860878709184E-3</v>
      </c>
    </row>
    <row r="222" spans="2:15" x14ac:dyDescent="0.2">
      <c r="B222" s="1">
        <v>45104</v>
      </c>
      <c r="C222" s="15">
        <f>VLOOKUP(B222, SAN.MC!$A$1:$G$256, 6, 0)</f>
        <v>3.1229870000000002</v>
      </c>
      <c r="D222" s="15">
        <f>VLOOKUP(B222, TEF.MC!$A$1:$G$256, 6, 0)</f>
        <v>3.5137040000000002</v>
      </c>
      <c r="E222">
        <f>VLOOKUP(B222, ACS.MC!$A$1:$G$256, 6, 0)</f>
        <v>29.127282999999998</v>
      </c>
      <c r="F222">
        <f>VLOOKUP(B222, IBE.MC!$A$1:$G$256, 6, 0)</f>
        <v>11.277982</v>
      </c>
      <c r="G222">
        <f>VLOOKUP(B222, IAG.MC!$A$1:$G$256, 6, 0)</f>
        <v>1.8785000000000001</v>
      </c>
      <c r="H222">
        <f>VLOOKUP(B222, IBEX35!$A$1:$G$256, 6, 0)</f>
        <v>9393</v>
      </c>
      <c r="J222" s="13">
        <f t="shared" si="23"/>
        <v>3.5678430208890256E-2</v>
      </c>
      <c r="K222" s="13">
        <f t="shared" si="24"/>
        <v>9.6352970254449458E-3</v>
      </c>
      <c r="L222" s="13">
        <f t="shared" si="25"/>
        <v>8.3440723939182202E-3</v>
      </c>
      <c r="M222" s="13">
        <f t="shared" si="26"/>
        <v>1.1087592865906515E-2</v>
      </c>
      <c r="N222" s="13">
        <f t="shared" si="27"/>
        <v>2.506531977994798E-2</v>
      </c>
      <c r="O222" s="13">
        <f t="shared" si="28"/>
        <v>1.2749945043109291E-2</v>
      </c>
    </row>
    <row r="223" spans="2:15" x14ac:dyDescent="0.2">
      <c r="B223" s="1">
        <v>45103</v>
      </c>
      <c r="C223" s="15">
        <f>VLOOKUP(B223, SAN.MC!$A$1:$G$256, 6, 0)</f>
        <v>3.013528</v>
      </c>
      <c r="D223" s="15">
        <f>VLOOKUP(B223, TEF.MC!$A$1:$G$256, 6, 0)</f>
        <v>3.4800110000000002</v>
      </c>
      <c r="E223">
        <f>VLOOKUP(B223, ACS.MC!$A$1:$G$256, 6, 0)</f>
        <v>28.885254</v>
      </c>
      <c r="F223">
        <f>VLOOKUP(B223, IBE.MC!$A$1:$G$256, 6, 0)</f>
        <v>11.153627</v>
      </c>
      <c r="G223">
        <f>VLOOKUP(B223, IAG.MC!$A$1:$G$256, 6, 0)</f>
        <v>1.8320000000000001</v>
      </c>
      <c r="H223">
        <f>VLOOKUP(B223, IBEX35!$A$1:$G$256, 6, 0)</f>
        <v>9274</v>
      </c>
      <c r="J223" s="13">
        <f t="shared" si="23"/>
        <v>5.6915740171495418E-3</v>
      </c>
      <c r="K223" s="13">
        <f t="shared" si="24"/>
        <v>-7.4411874737331657E-3</v>
      </c>
      <c r="L223" s="13">
        <f t="shared" si="25"/>
        <v>1.9355575935924396E-3</v>
      </c>
      <c r="M223" s="13">
        <f t="shared" si="26"/>
        <v>-1.285660530427122E-3</v>
      </c>
      <c r="N223" s="13">
        <f t="shared" si="27"/>
        <v>-1.5168221473171317E-2</v>
      </c>
      <c r="O223" s="13">
        <f t="shared" si="28"/>
        <v>8.8460453952980461E-4</v>
      </c>
    </row>
    <row r="224" spans="2:15" x14ac:dyDescent="0.2">
      <c r="B224" s="1">
        <v>45100</v>
      </c>
      <c r="C224" s="15">
        <f>VLOOKUP(B224, SAN.MC!$A$1:$G$256, 6, 0)</f>
        <v>2.9964249999999999</v>
      </c>
      <c r="D224" s="15">
        <f>VLOOKUP(B224, TEF.MC!$A$1:$G$256, 6, 0)</f>
        <v>3.5060030000000002</v>
      </c>
      <c r="E224">
        <f>VLOOKUP(B224, ACS.MC!$A$1:$G$256, 6, 0)</f>
        <v>28.829398999999999</v>
      </c>
      <c r="F224">
        <f>VLOOKUP(B224, IBE.MC!$A$1:$G$256, 6, 0)</f>
        <v>11.167975999999999</v>
      </c>
      <c r="G224">
        <f>VLOOKUP(B224, IAG.MC!$A$1:$G$256, 6, 0)</f>
        <v>1.86</v>
      </c>
      <c r="H224">
        <f>VLOOKUP(B224, IBEX35!$A$1:$G$256, 6, 0)</f>
        <v>9265.7998050000006</v>
      </c>
      <c r="J224" s="13">
        <f t="shared" si="23"/>
        <v>-2.8931725952551057E-2</v>
      </c>
      <c r="K224" s="13">
        <f t="shared" si="24"/>
        <v>7.9944996937589621E-3</v>
      </c>
      <c r="L224" s="13">
        <f t="shared" si="25"/>
        <v>-3.8673069343015186E-3</v>
      </c>
      <c r="M224" s="13">
        <f t="shared" si="26"/>
        <v>-6.8289010605482791E-3</v>
      </c>
      <c r="N224" s="13">
        <f t="shared" si="27"/>
        <v>-3.4609186547716539E-2</v>
      </c>
      <c r="O224" s="13">
        <f t="shared" si="28"/>
        <v>-1.0617140606303562E-2</v>
      </c>
    </row>
    <row r="225" spans="2:15" x14ac:dyDescent="0.2">
      <c r="B225" s="1">
        <v>45099</v>
      </c>
      <c r="C225" s="15">
        <f>VLOOKUP(B225, SAN.MC!$A$1:$G$256, 6, 0)</f>
        <v>3.0843829999999999</v>
      </c>
      <c r="D225" s="15">
        <f>VLOOKUP(B225, TEF.MC!$A$1:$G$256, 6, 0)</f>
        <v>3.4780859999999998</v>
      </c>
      <c r="E225">
        <f>VLOOKUP(B225, ACS.MC!$A$1:$G$256, 6, 0)</f>
        <v>28.941106999999999</v>
      </c>
      <c r="F225">
        <f>VLOOKUP(B225, IBE.MC!$A$1:$G$256, 6, 0)</f>
        <v>11.244502000000001</v>
      </c>
      <c r="G225">
        <f>VLOOKUP(B225, IAG.MC!$A$1:$G$256, 6, 0)</f>
        <v>1.9255</v>
      </c>
      <c r="H225">
        <f>VLOOKUP(B225, IBEX35!$A$1:$G$256, 6, 0)</f>
        <v>9364.7001949999994</v>
      </c>
      <c r="J225" s="13">
        <f t="shared" si="23"/>
        <v>-1.5094700293834456E-2</v>
      </c>
      <c r="K225" s="13">
        <f t="shared" si="24"/>
        <v>-6.8954942101168504E-3</v>
      </c>
      <c r="L225" s="13">
        <f t="shared" si="25"/>
        <v>-5.4530713216624322E-3</v>
      </c>
      <c r="M225" s="13">
        <f t="shared" si="26"/>
        <v>-5.9372498289236905E-3</v>
      </c>
      <c r="N225" s="13">
        <f t="shared" si="27"/>
        <v>7.7932202931176129E-4</v>
      </c>
      <c r="O225" s="13">
        <f t="shared" si="28"/>
        <v>-7.627270889789246E-3</v>
      </c>
    </row>
    <row r="226" spans="2:15" x14ac:dyDescent="0.2">
      <c r="B226" s="1">
        <v>45098</v>
      </c>
      <c r="C226" s="15">
        <f>VLOOKUP(B226, SAN.MC!$A$1:$G$256, 6, 0)</f>
        <v>3.131294</v>
      </c>
      <c r="D226" s="15">
        <f>VLOOKUP(B226, TEF.MC!$A$1:$G$256, 6, 0)</f>
        <v>3.5021520000000002</v>
      </c>
      <c r="E226">
        <f>VLOOKUP(B226, ACS.MC!$A$1:$G$256, 6, 0)</f>
        <v>29.099356</v>
      </c>
      <c r="F226">
        <f>VLOOKUP(B226, IBE.MC!$A$1:$G$256, 6, 0)</f>
        <v>11.311462000000001</v>
      </c>
      <c r="G226">
        <f>VLOOKUP(B226, IAG.MC!$A$1:$G$256, 6, 0)</f>
        <v>1.9239999999999999</v>
      </c>
      <c r="H226">
        <f>VLOOKUP(B226, IBEX35!$A$1:$G$256, 6, 0)</f>
        <v>9436.4003909999992</v>
      </c>
      <c r="J226" s="13">
        <f t="shared" si="23"/>
        <v>3.4389920515277925E-3</v>
      </c>
      <c r="K226" s="13">
        <f t="shared" si="24"/>
        <v>-2.7451099947968043E-3</v>
      </c>
      <c r="L226" s="13">
        <f t="shared" si="25"/>
        <v>4.8100062630085346E-3</v>
      </c>
      <c r="M226" s="13">
        <f t="shared" si="26"/>
        <v>-1.0096792075846605E-2</v>
      </c>
      <c r="N226" s="13">
        <f t="shared" si="27"/>
        <v>-1.2985328405605413E-3</v>
      </c>
      <c r="O226" s="13">
        <f t="shared" si="28"/>
        <v>-3.6017990924597064E-4</v>
      </c>
    </row>
    <row r="227" spans="2:15" x14ac:dyDescent="0.2">
      <c r="B227" s="1">
        <v>45097</v>
      </c>
      <c r="C227" s="15">
        <f>VLOOKUP(B227, SAN.MC!$A$1:$G$256, 6, 0)</f>
        <v>3.1205440000000002</v>
      </c>
      <c r="D227" s="15">
        <f>VLOOKUP(B227, TEF.MC!$A$1:$G$256, 6, 0)</f>
        <v>3.5117790000000002</v>
      </c>
      <c r="E227">
        <f>VLOOKUP(B227, ACS.MC!$A$1:$G$256, 6, 0)</f>
        <v>28.959724000000001</v>
      </c>
      <c r="F227">
        <f>VLOOKUP(B227, IBE.MC!$A$1:$G$256, 6, 0)</f>
        <v>11.42625</v>
      </c>
      <c r="G227">
        <f>VLOOKUP(B227, IAG.MC!$A$1:$G$256, 6, 0)</f>
        <v>1.9265000000000001</v>
      </c>
      <c r="H227">
        <f>VLOOKUP(B227, IBEX35!$A$1:$G$256, 6, 0)</f>
        <v>9439.7998050000006</v>
      </c>
      <c r="J227" s="13">
        <f t="shared" si="23"/>
        <v>-5.9326117792192143E-3</v>
      </c>
      <c r="K227" s="13">
        <f t="shared" si="24"/>
        <v>-2.7373110132000011E-3</v>
      </c>
      <c r="L227" s="13">
        <f t="shared" si="25"/>
        <v>-6.4261728319512854E-4</v>
      </c>
      <c r="M227" s="13">
        <f t="shared" si="26"/>
        <v>2.0296659385422626E-2</v>
      </c>
      <c r="N227" s="13">
        <f t="shared" si="27"/>
        <v>0</v>
      </c>
      <c r="O227" s="13">
        <f t="shared" si="28"/>
        <v>8.371704064095676E-4</v>
      </c>
    </row>
    <row r="228" spans="2:15" x14ac:dyDescent="0.2">
      <c r="B228" s="1">
        <v>45096</v>
      </c>
      <c r="C228" s="15">
        <f>VLOOKUP(B228, SAN.MC!$A$1:$G$256, 6, 0)</f>
        <v>3.1391119999999999</v>
      </c>
      <c r="D228" s="15">
        <f>VLOOKUP(B228, TEF.MC!$A$1:$G$256, 6, 0)</f>
        <v>3.5214050000000001</v>
      </c>
      <c r="E228">
        <f>VLOOKUP(B228, ACS.MC!$A$1:$G$256, 6, 0)</f>
        <v>28.978339999999999</v>
      </c>
      <c r="F228">
        <f>VLOOKUP(B228, IBE.MC!$A$1:$G$256, 6, 0)</f>
        <v>11.196673000000001</v>
      </c>
      <c r="G228">
        <f>VLOOKUP(B228, IAG.MC!$A$1:$G$256, 6, 0)</f>
        <v>1.9265000000000001</v>
      </c>
      <c r="H228">
        <f>VLOOKUP(B228, IBEX35!$A$1:$G$256, 6, 0)</f>
        <v>9431.9003909999992</v>
      </c>
      <c r="J228" s="13">
        <f t="shared" si="23"/>
        <v>-2.6427945189246753E-3</v>
      </c>
      <c r="K228" s="13">
        <f t="shared" si="24"/>
        <v>9.889987442348586E-3</v>
      </c>
      <c r="L228" s="13">
        <f t="shared" si="25"/>
        <v>-1.5934129878180572E-2</v>
      </c>
      <c r="M228" s="13">
        <f t="shared" si="26"/>
        <v>-9.7770208997114989E-3</v>
      </c>
      <c r="N228" s="13">
        <f t="shared" si="27"/>
        <v>-8.5282853112278144E-3</v>
      </c>
      <c r="O228" s="13">
        <f t="shared" si="28"/>
        <v>-6.6677418355807413E-3</v>
      </c>
    </row>
    <row r="229" spans="2:15" x14ac:dyDescent="0.2">
      <c r="B229" s="1">
        <v>45093</v>
      </c>
      <c r="C229" s="15">
        <f>VLOOKUP(B229, SAN.MC!$A$1:$G$256, 6, 0)</f>
        <v>3.1474190000000002</v>
      </c>
      <c r="D229" s="15">
        <f>VLOOKUP(B229, TEF.MC!$A$1:$G$256, 6, 0)</f>
        <v>3.4867499999999998</v>
      </c>
      <c r="E229">
        <f>VLOOKUP(B229, ACS.MC!$A$1:$G$256, 6, 0)</f>
        <v>29.443783</v>
      </c>
      <c r="F229">
        <f>VLOOKUP(B229, IBE.MC!$A$1:$G$256, 6, 0)</f>
        <v>11.30668</v>
      </c>
      <c r="G229">
        <f>VLOOKUP(B229, IAG.MC!$A$1:$G$256, 6, 0)</f>
        <v>1.9430000000000001</v>
      </c>
      <c r="H229">
        <f>VLOOKUP(B229, IBEX35!$A$1:$G$256, 6, 0)</f>
        <v>9495</v>
      </c>
      <c r="J229" s="13">
        <f t="shared" si="23"/>
        <v>8.2623688632635604E-3</v>
      </c>
      <c r="K229" s="13">
        <f t="shared" si="24"/>
        <v>-9.0695237605046275E-3</v>
      </c>
      <c r="L229" s="13">
        <f t="shared" si="25"/>
        <v>9.8491910165930483E-3</v>
      </c>
      <c r="M229" s="13">
        <f t="shared" si="26"/>
        <v>1.9650396138933511E-2</v>
      </c>
      <c r="N229" s="13">
        <f t="shared" si="27"/>
        <v>5.418668915863044E-3</v>
      </c>
      <c r="O229" s="13">
        <f t="shared" si="28"/>
        <v>6.7844362631876683E-3</v>
      </c>
    </row>
    <row r="230" spans="2:15" x14ac:dyDescent="0.2">
      <c r="B230" s="1">
        <v>45092</v>
      </c>
      <c r="C230" s="15">
        <f>VLOOKUP(B230, SAN.MC!$A$1:$G$256, 6, 0)</f>
        <v>3.121521</v>
      </c>
      <c r="D230" s="15">
        <f>VLOOKUP(B230, TEF.MC!$A$1:$G$256, 6, 0)</f>
        <v>3.5185170000000001</v>
      </c>
      <c r="E230">
        <f>VLOOKUP(B230, ACS.MC!$A$1:$G$256, 6, 0)</f>
        <v>29.155208999999999</v>
      </c>
      <c r="F230">
        <f>VLOOKUP(B230, IBE.MC!$A$1:$G$256, 6, 0)</f>
        <v>11.086668</v>
      </c>
      <c r="G230">
        <f>VLOOKUP(B230, IAG.MC!$A$1:$G$256, 6, 0)</f>
        <v>1.9325000000000001</v>
      </c>
      <c r="H230">
        <f>VLOOKUP(B230, IBEX35!$A$1:$G$256, 6, 0)</f>
        <v>9430.7998050000006</v>
      </c>
      <c r="J230" s="13">
        <f t="shared" si="23"/>
        <v>-1.7380872620365827E-2</v>
      </c>
      <c r="K230" s="13">
        <f t="shared" si="24"/>
        <v>6.0372003998465529E-3</v>
      </c>
      <c r="L230" s="13">
        <f t="shared" si="25"/>
        <v>2.8776882627592746E-3</v>
      </c>
      <c r="M230" s="13">
        <f t="shared" si="26"/>
        <v>1.7271669752668833E-3</v>
      </c>
      <c r="N230" s="13">
        <f t="shared" si="27"/>
        <v>-3.8734715957966636E-3</v>
      </c>
      <c r="O230" s="13">
        <f t="shared" si="28"/>
        <v>-2.1204860671812821E-4</v>
      </c>
    </row>
    <row r="231" spans="2:15" x14ac:dyDescent="0.2">
      <c r="B231" s="1">
        <v>45091</v>
      </c>
      <c r="C231" s="15">
        <f>VLOOKUP(B231, SAN.MC!$A$1:$G$256, 6, 0)</f>
        <v>3.17625</v>
      </c>
      <c r="D231" s="15">
        <f>VLOOKUP(B231, TEF.MC!$A$1:$G$256, 6, 0)</f>
        <v>3.4973390000000002</v>
      </c>
      <c r="E231">
        <f>VLOOKUP(B231, ACS.MC!$A$1:$G$256, 6, 0)</f>
        <v>29.071429999999999</v>
      </c>
      <c r="F231">
        <f>VLOOKUP(B231, IBE.MC!$A$1:$G$256, 6, 0)</f>
        <v>11.067536</v>
      </c>
      <c r="G231">
        <f>VLOOKUP(B231, IAG.MC!$A$1:$G$256, 6, 0)</f>
        <v>1.94</v>
      </c>
      <c r="H231">
        <f>VLOOKUP(B231, IBEX35!$A$1:$G$256, 6, 0)</f>
        <v>9432.7998050000006</v>
      </c>
      <c r="J231" s="13">
        <f t="shared" si="23"/>
        <v>1.8007366070607288E-2</v>
      </c>
      <c r="K231" s="13">
        <f t="shared" si="24"/>
        <v>-3.57204755373987E-3</v>
      </c>
      <c r="L231" s="13">
        <f t="shared" si="25"/>
        <v>-4.7915339495888847E-3</v>
      </c>
      <c r="M231" s="13">
        <f t="shared" si="26"/>
        <v>8.6805023007998691E-3</v>
      </c>
      <c r="N231" s="13">
        <f t="shared" si="27"/>
        <v>5.1679701584425976E-3</v>
      </c>
      <c r="O231" s="13">
        <f t="shared" si="28"/>
        <v>1.0561429266026944E-2</v>
      </c>
    </row>
    <row r="232" spans="2:15" x14ac:dyDescent="0.2">
      <c r="B232" s="1">
        <v>45090</v>
      </c>
      <c r="C232" s="15">
        <f>VLOOKUP(B232, SAN.MC!$A$1:$G$256, 6, 0)</f>
        <v>3.1195659999999998</v>
      </c>
      <c r="D232" s="15">
        <f>VLOOKUP(B232, TEF.MC!$A$1:$G$256, 6, 0)</f>
        <v>3.5098539999999998</v>
      </c>
      <c r="E232">
        <f>VLOOKUP(B232, ACS.MC!$A$1:$G$256, 6, 0)</f>
        <v>29.211061000000001</v>
      </c>
      <c r="F232">
        <f>VLOOKUP(B232, IBE.MC!$A$1:$G$256, 6, 0)</f>
        <v>10.971880000000001</v>
      </c>
      <c r="G232">
        <f>VLOOKUP(B232, IAG.MC!$A$1:$G$256, 6, 0)</f>
        <v>1.93</v>
      </c>
      <c r="H232">
        <f>VLOOKUP(B232, IBEX35!$A$1:$G$256, 6, 0)</f>
        <v>9333.7001949999994</v>
      </c>
      <c r="J232" s="13">
        <f t="shared" si="23"/>
        <v>9.4031628749491249E-4</v>
      </c>
      <c r="K232" s="13">
        <f t="shared" si="24"/>
        <v>-1.3349799031417076E-2</v>
      </c>
      <c r="L232" s="13">
        <f t="shared" si="25"/>
        <v>-1.5494417269977304E-2</v>
      </c>
      <c r="M232" s="13">
        <f t="shared" si="26"/>
        <v>-6.5174306675341992E-3</v>
      </c>
      <c r="N232" s="13">
        <f t="shared" si="27"/>
        <v>1.9621296587327312E-2</v>
      </c>
      <c r="O232" s="13">
        <f t="shared" si="28"/>
        <v>-1.1457478902931228E-3</v>
      </c>
    </row>
    <row r="233" spans="2:15" x14ac:dyDescent="0.2">
      <c r="B233" s="1">
        <v>45089</v>
      </c>
      <c r="C233" s="15">
        <f>VLOOKUP(B233, SAN.MC!$A$1:$G$256, 6, 0)</f>
        <v>3.1166339999999999</v>
      </c>
      <c r="D233" s="15">
        <f>VLOOKUP(B233, TEF.MC!$A$1:$G$256, 6, 0)</f>
        <v>3.5570240000000002</v>
      </c>
      <c r="E233">
        <f>VLOOKUP(B233, ACS.MC!$A$1:$G$256, 6, 0)</f>
        <v>29.667193999999999</v>
      </c>
      <c r="F233">
        <f>VLOOKUP(B233, IBE.MC!$A$1:$G$256, 6, 0)</f>
        <v>11.043621999999999</v>
      </c>
      <c r="G233">
        <f>VLOOKUP(B233, IAG.MC!$A$1:$G$256, 6, 0)</f>
        <v>1.8925000000000001</v>
      </c>
      <c r="H233">
        <f>VLOOKUP(B233, IBEX35!$A$1:$G$256, 6, 0)</f>
        <v>9344.4003909999992</v>
      </c>
      <c r="J233" s="13">
        <f t="shared" si="23"/>
        <v>-3.9122712111687467E-3</v>
      </c>
      <c r="K233" s="13">
        <f t="shared" si="24"/>
        <v>-1.0606677171575653E-2</v>
      </c>
      <c r="L233" s="13">
        <f t="shared" si="25"/>
        <v>1.2312711968419224E-2</v>
      </c>
      <c r="M233" s="13">
        <f t="shared" si="26"/>
        <v>4.3403216541905232E-3</v>
      </c>
      <c r="N233" s="13">
        <f t="shared" si="27"/>
        <v>1.3833686956965414E-2</v>
      </c>
      <c r="O233" s="13">
        <f t="shared" si="28"/>
        <v>3.720386932042553E-3</v>
      </c>
    </row>
    <row r="234" spans="2:15" x14ac:dyDescent="0.2">
      <c r="B234" s="1">
        <v>45086</v>
      </c>
      <c r="C234" s="15">
        <f>VLOOKUP(B234, SAN.MC!$A$1:$G$256, 6, 0)</f>
        <v>3.128851</v>
      </c>
      <c r="D234" s="15">
        <f>VLOOKUP(B234, TEF.MC!$A$1:$G$256, 6, 0)</f>
        <v>3.5949529999999998</v>
      </c>
      <c r="E234">
        <f>VLOOKUP(B234, ACS.MC!$A$1:$G$256, 6, 0)</f>
        <v>29.30415</v>
      </c>
      <c r="F234">
        <f>VLOOKUP(B234, IBE.MC!$A$1:$G$256, 6, 0)</f>
        <v>10.995793000000001</v>
      </c>
      <c r="G234">
        <f>VLOOKUP(B234, IAG.MC!$A$1:$G$256, 6, 0)</f>
        <v>1.8665</v>
      </c>
      <c r="H234">
        <f>VLOOKUP(B234, IBEX35!$A$1:$G$256, 6, 0)</f>
        <v>9309.7001949999994</v>
      </c>
      <c r="J234" s="13">
        <f t="shared" si="23"/>
        <v>-7.9333522659298886E-3</v>
      </c>
      <c r="K234" s="13">
        <f t="shared" si="24"/>
        <v>2.576646592322776E-3</v>
      </c>
      <c r="L234" s="13">
        <f t="shared" si="25"/>
        <v>5.4148588053087015E-3</v>
      </c>
      <c r="M234" s="13">
        <f t="shared" si="26"/>
        <v>4.3591508561476007E-3</v>
      </c>
      <c r="N234" s="13">
        <f t="shared" si="27"/>
        <v>9.6905199779519433E-3</v>
      </c>
      <c r="O234" s="13">
        <f t="shared" si="28"/>
        <v>-3.067313644688536E-3</v>
      </c>
    </row>
    <row r="235" spans="2:15" x14ac:dyDescent="0.2">
      <c r="B235" s="1">
        <v>45085</v>
      </c>
      <c r="C235" s="15">
        <f>VLOOKUP(B235, SAN.MC!$A$1:$G$256, 6, 0)</f>
        <v>3.153772</v>
      </c>
      <c r="D235" s="15">
        <f>VLOOKUP(B235, TEF.MC!$A$1:$G$256, 6, 0)</f>
        <v>3.5857019999999999</v>
      </c>
      <c r="E235">
        <f>VLOOKUP(B235, ACS.MC!$A$1:$G$256, 6, 0)</f>
        <v>29.145900999999999</v>
      </c>
      <c r="F235">
        <f>VLOOKUP(B235, IBE.MC!$A$1:$G$256, 6, 0)</f>
        <v>10.947965</v>
      </c>
      <c r="G235">
        <f>VLOOKUP(B235, IAG.MC!$A$1:$G$256, 6, 0)</f>
        <v>1.8485</v>
      </c>
      <c r="H235">
        <f>VLOOKUP(B235, IBEX35!$A$1:$G$256, 6, 0)</f>
        <v>9338.2998050000006</v>
      </c>
      <c r="J235" s="13">
        <f t="shared" si="23"/>
        <v>4.9705223532656318E-3</v>
      </c>
      <c r="K235" s="13">
        <f t="shared" si="24"/>
        <v>-3.0911245698310242E-3</v>
      </c>
      <c r="L235" s="13">
        <f t="shared" si="25"/>
        <v>4.8023063748450162E-3</v>
      </c>
      <c r="M235" s="13">
        <f t="shared" si="26"/>
        <v>-7.3993256993942543E-3</v>
      </c>
      <c r="N235" s="13">
        <f t="shared" si="27"/>
        <v>-2.4314479086731751E-3</v>
      </c>
      <c r="O235" s="13">
        <f t="shared" si="28"/>
        <v>-2.2996999613741327E-3</v>
      </c>
    </row>
    <row r="236" spans="2:15" x14ac:dyDescent="0.2">
      <c r="B236" s="1">
        <v>45084</v>
      </c>
      <c r="C236" s="15">
        <f>VLOOKUP(B236, SAN.MC!$A$1:$G$256, 6, 0)</f>
        <v>3.1381350000000001</v>
      </c>
      <c r="D236" s="15">
        <f>VLOOKUP(B236, TEF.MC!$A$1:$G$256, 6, 0)</f>
        <v>3.596803</v>
      </c>
      <c r="E236">
        <f>VLOOKUP(B236, ACS.MC!$A$1:$G$256, 6, 0)</f>
        <v>29.006269</v>
      </c>
      <c r="F236">
        <f>VLOOKUP(B236, IBE.MC!$A$1:$G$256, 6, 0)</f>
        <v>11.029273</v>
      </c>
      <c r="G236">
        <f>VLOOKUP(B236, IAG.MC!$A$1:$G$256, 6, 0)</f>
        <v>1.853</v>
      </c>
      <c r="H236">
        <f>VLOOKUP(B236, IBEX35!$A$1:$G$256, 6, 0)</f>
        <v>9359.7998050000006</v>
      </c>
      <c r="J236" s="13">
        <f t="shared" si="23"/>
        <v>6.2285675862392678E-4</v>
      </c>
      <c r="K236" s="13">
        <f t="shared" si="24"/>
        <v>1.1641669426680957E-2</v>
      </c>
      <c r="L236" s="13">
        <f t="shared" si="25"/>
        <v>-2.8841435189353817E-3</v>
      </c>
      <c r="M236" s="13">
        <f t="shared" si="26"/>
        <v>-1.3353756190919309E-2</v>
      </c>
      <c r="N236" s="13">
        <f t="shared" si="27"/>
        <v>1.5774055651083089E-2</v>
      </c>
      <c r="O236" s="13">
        <f t="shared" si="28"/>
        <v>5.2489061437195417E-3</v>
      </c>
    </row>
    <row r="237" spans="2:15" x14ac:dyDescent="0.2">
      <c r="B237" s="1">
        <v>45083</v>
      </c>
      <c r="C237" s="15">
        <f>VLOOKUP(B237, SAN.MC!$A$1:$G$256, 6, 0)</f>
        <v>3.1361810000000001</v>
      </c>
      <c r="D237" s="15">
        <f>VLOOKUP(B237, TEF.MC!$A$1:$G$256, 6, 0)</f>
        <v>3.5551729999999999</v>
      </c>
      <c r="E237">
        <f>VLOOKUP(B237, ACS.MC!$A$1:$G$256, 6, 0)</f>
        <v>29.090047999999999</v>
      </c>
      <c r="F237">
        <f>VLOOKUP(B237, IBE.MC!$A$1:$G$256, 6, 0)</f>
        <v>11.177543</v>
      </c>
      <c r="G237">
        <f>VLOOKUP(B237, IAG.MC!$A$1:$G$256, 6, 0)</f>
        <v>1.8240000000000001</v>
      </c>
      <c r="H237">
        <f>VLOOKUP(B237, IBEX35!$A$1:$G$256, 6, 0)</f>
        <v>9310.7998050000006</v>
      </c>
      <c r="J237" s="13">
        <f t="shared" si="23"/>
        <v>8.135212224953366E-3</v>
      </c>
      <c r="K237" s="13">
        <f t="shared" si="24"/>
        <v>-2.0603552605404373E-2</v>
      </c>
      <c r="L237" s="13">
        <f t="shared" si="25"/>
        <v>-4.7884746375965242E-3</v>
      </c>
      <c r="M237" s="13">
        <f t="shared" si="26"/>
        <v>9.8905377467100458E-3</v>
      </c>
      <c r="N237" s="13">
        <f t="shared" si="27"/>
        <v>3.0199062072329076E-3</v>
      </c>
      <c r="O237" s="13">
        <f t="shared" si="28"/>
        <v>2.3333680857885388E-3</v>
      </c>
    </row>
    <row r="238" spans="2:15" x14ac:dyDescent="0.2">
      <c r="B238" s="1">
        <v>45082</v>
      </c>
      <c r="C238" s="15">
        <f>VLOOKUP(B238, SAN.MC!$A$1:$G$256, 6, 0)</f>
        <v>3.1107710000000002</v>
      </c>
      <c r="D238" s="15">
        <f>VLOOKUP(B238, TEF.MC!$A$1:$G$256, 6, 0)</f>
        <v>3.6291820000000001</v>
      </c>
      <c r="E238">
        <f>VLOOKUP(B238, ACS.MC!$A$1:$G$256, 6, 0)</f>
        <v>29.229679000000001</v>
      </c>
      <c r="F238">
        <f>VLOOKUP(B238, IBE.MC!$A$1:$G$256, 6, 0)</f>
        <v>11.067536</v>
      </c>
      <c r="G238">
        <f>VLOOKUP(B238, IAG.MC!$A$1:$G$256, 6, 0)</f>
        <v>1.8185</v>
      </c>
      <c r="H238">
        <f>VLOOKUP(B238, IBEX35!$A$1:$G$256, 6, 0)</f>
        <v>9289.0996090000008</v>
      </c>
      <c r="J238" s="13">
        <f t="shared" si="23"/>
        <v>-8.4466890980822353E-3</v>
      </c>
      <c r="K238" s="13">
        <f t="shared" si="24"/>
        <v>8.1903843512036636E-3</v>
      </c>
      <c r="L238" s="13">
        <f t="shared" si="25"/>
        <v>2.5510039647659529E-3</v>
      </c>
      <c r="M238" s="13">
        <f t="shared" si="26"/>
        <v>-8.6395637580715583E-4</v>
      </c>
      <c r="N238" s="13">
        <f t="shared" si="27"/>
        <v>-7.6691693337628377E-3</v>
      </c>
      <c r="O238" s="13">
        <f t="shared" si="28"/>
        <v>-3.031238550289782E-3</v>
      </c>
    </row>
    <row r="239" spans="2:15" x14ac:dyDescent="0.2">
      <c r="B239" s="1">
        <v>45079</v>
      </c>
      <c r="C239" s="15">
        <f>VLOOKUP(B239, SAN.MC!$A$1:$G$256, 6, 0)</f>
        <v>3.1371579999999999</v>
      </c>
      <c r="D239" s="15">
        <f>VLOOKUP(B239, TEF.MC!$A$1:$G$256, 6, 0)</f>
        <v>3.5995789999999999</v>
      </c>
      <c r="E239">
        <f>VLOOKUP(B239, ACS.MC!$A$1:$G$256, 6, 0)</f>
        <v>29.155208999999999</v>
      </c>
      <c r="F239">
        <f>VLOOKUP(B239, IBE.MC!$A$1:$G$256, 6, 0)</f>
        <v>11.077102</v>
      </c>
      <c r="G239">
        <f>VLOOKUP(B239, IAG.MC!$A$1:$G$256, 6, 0)</f>
        <v>1.8325</v>
      </c>
      <c r="H239">
        <f>VLOOKUP(B239, IBEX35!$A$1:$G$256, 6, 0)</f>
        <v>9317.2998050000006</v>
      </c>
      <c r="J239" s="13">
        <f t="shared" si="23"/>
        <v>3.0202346330201482E-2</v>
      </c>
      <c r="K239" s="13">
        <f t="shared" si="24"/>
        <v>-7.6804976369821091E-3</v>
      </c>
      <c r="L239" s="13">
        <f t="shared" si="25"/>
        <v>-7.63367376075652E-3</v>
      </c>
      <c r="M239" s="13">
        <f t="shared" si="26"/>
        <v>6.0632467443377264E-3</v>
      </c>
      <c r="N239" s="13">
        <f t="shared" si="27"/>
        <v>9.5956870618553354E-3</v>
      </c>
      <c r="O239" s="13">
        <f t="shared" si="28"/>
        <v>1.6208245263503375E-2</v>
      </c>
    </row>
    <row r="240" spans="2:15" x14ac:dyDescent="0.2">
      <c r="B240" s="1">
        <v>45078</v>
      </c>
      <c r="C240" s="15">
        <f>VLOOKUP(B240, SAN.MC!$A$1:$G$256, 6, 0)</f>
        <v>3.043825</v>
      </c>
      <c r="D240" s="15">
        <f>VLOOKUP(B240, TEF.MC!$A$1:$G$256, 6, 0)</f>
        <v>3.627332</v>
      </c>
      <c r="E240">
        <f>VLOOKUP(B240, ACS.MC!$A$1:$G$256, 6, 0)</f>
        <v>29.378622</v>
      </c>
      <c r="F240">
        <f>VLOOKUP(B240, IBE.MC!$A$1:$G$256, 6, 0)</f>
        <v>11.010142</v>
      </c>
      <c r="G240">
        <f>VLOOKUP(B240, IAG.MC!$A$1:$G$256, 6, 0)</f>
        <v>1.8149999999999999</v>
      </c>
      <c r="H240">
        <f>VLOOKUP(B240, IBEX35!$A$1:$G$256, 6, 0)</f>
        <v>9167.5</v>
      </c>
      <c r="J240" s="13">
        <f t="shared" si="23"/>
        <v>2.256776188116032E-2</v>
      </c>
      <c r="K240" s="13">
        <f t="shared" si="24"/>
        <v>-1.2419347917510044E-2</v>
      </c>
      <c r="L240" s="13">
        <f t="shared" si="25"/>
        <v>1.4039869644320926E-2</v>
      </c>
      <c r="M240" s="13">
        <f t="shared" si="26"/>
        <v>9.6028761768625921E-3</v>
      </c>
      <c r="N240" s="13">
        <f t="shared" si="27"/>
        <v>1.0245140145377796E-2</v>
      </c>
      <c r="O240" s="13">
        <f t="shared" si="28"/>
        <v>1.2877742501699839E-2</v>
      </c>
    </row>
    <row r="241" spans="2:15" x14ac:dyDescent="0.2">
      <c r="B241" s="1">
        <v>45077</v>
      </c>
      <c r="C241" s="15">
        <f>VLOOKUP(B241, SAN.MC!$A$1:$G$256, 6, 0)</f>
        <v>2.975902</v>
      </c>
      <c r="D241" s="15">
        <f>VLOOKUP(B241, TEF.MC!$A$1:$G$256, 6, 0)</f>
        <v>3.6726619999999999</v>
      </c>
      <c r="E241">
        <f>VLOOKUP(B241, ACS.MC!$A$1:$G$256, 6, 0)</f>
        <v>28.969031999999999</v>
      </c>
      <c r="F241">
        <f>VLOOKUP(B241, IBE.MC!$A$1:$G$256, 6, 0)</f>
        <v>10.904919</v>
      </c>
      <c r="G241">
        <f>VLOOKUP(B241, IAG.MC!$A$1:$G$256, 6, 0)</f>
        <v>1.7965</v>
      </c>
      <c r="H241">
        <f>VLOOKUP(B241, IBEX35!$A$1:$G$256, 6, 0)</f>
        <v>9050.2001949999994</v>
      </c>
      <c r="J241" s="13">
        <f t="shared" si="23"/>
        <v>-2.1282697136313127E-2</v>
      </c>
      <c r="K241" s="13">
        <f t="shared" si="24"/>
        <v>1.3950845932503817E-2</v>
      </c>
      <c r="L241" s="13">
        <f t="shared" si="25"/>
        <v>-4.8084644762664951E-3</v>
      </c>
      <c r="M241" s="13">
        <f t="shared" si="26"/>
        <v>-8.2987732579370005E-3</v>
      </c>
      <c r="N241" s="13">
        <f t="shared" si="27"/>
        <v>-8.5908800493512353E-3</v>
      </c>
      <c r="O241" s="13">
        <f t="shared" si="28"/>
        <v>-1.287774250169973E-2</v>
      </c>
    </row>
    <row r="242" spans="2:15" x14ac:dyDescent="0.2">
      <c r="B242" s="1">
        <v>45076</v>
      </c>
      <c r="C242" s="15">
        <f>VLOOKUP(B242, SAN.MC!$A$1:$G$256, 6, 0)</f>
        <v>3.0399159999999998</v>
      </c>
      <c r="D242" s="15">
        <f>VLOOKUP(B242, TEF.MC!$A$1:$G$256, 6, 0)</f>
        <v>3.6217809999999999</v>
      </c>
      <c r="E242">
        <f>VLOOKUP(B242, ACS.MC!$A$1:$G$256, 6, 0)</f>
        <v>29.108664000000001</v>
      </c>
      <c r="F242">
        <f>VLOOKUP(B242, IBE.MC!$A$1:$G$256, 6, 0)</f>
        <v>10.995793000000001</v>
      </c>
      <c r="G242">
        <f>VLOOKUP(B242, IAG.MC!$A$1:$G$256, 6, 0)</f>
        <v>1.8120000000000001</v>
      </c>
      <c r="H242">
        <f>VLOOKUP(B242, IBEX35!$A$1:$G$256, 6, 0)</f>
        <v>9167.5</v>
      </c>
      <c r="J242" s="13">
        <f t="shared" si="23"/>
        <v>-1.0234899578721755E-2</v>
      </c>
      <c r="K242" s="13">
        <f t="shared" si="24"/>
        <v>-1.4706143358932746E-2</v>
      </c>
      <c r="L242" s="13">
        <f t="shared" si="25"/>
        <v>2.8822274419899241E-3</v>
      </c>
      <c r="M242" s="13">
        <f t="shared" si="26"/>
        <v>3.0493544768876004E-3</v>
      </c>
      <c r="N242" s="13">
        <f t="shared" si="27"/>
        <v>8.0343970077229668E-3</v>
      </c>
      <c r="O242" s="13">
        <f t="shared" si="28"/>
        <v>-1.3734342637820645E-3</v>
      </c>
    </row>
    <row r="243" spans="2:15" x14ac:dyDescent="0.2">
      <c r="B243" s="1">
        <v>45075</v>
      </c>
      <c r="C243" s="15">
        <f>VLOOKUP(B243, SAN.MC!$A$1:$G$256, 6, 0)</f>
        <v>3.0711889999999999</v>
      </c>
      <c r="D243" s="15">
        <f>VLOOKUP(B243, TEF.MC!$A$1:$G$256, 6, 0)</f>
        <v>3.6754370000000001</v>
      </c>
      <c r="E243">
        <f>VLOOKUP(B243, ACS.MC!$A$1:$G$256, 6, 0)</f>
        <v>29.024887</v>
      </c>
      <c r="F243">
        <f>VLOOKUP(B243, IBE.MC!$A$1:$G$256, 6, 0)</f>
        <v>10.962313999999999</v>
      </c>
      <c r="G243">
        <f>VLOOKUP(B243, IAG.MC!$A$1:$G$256, 6, 0)</f>
        <v>1.7975000000000001</v>
      </c>
      <c r="H243">
        <f>VLOOKUP(B243, IBEX35!$A$1:$G$256, 6, 0)</f>
        <v>9180.0996090000008</v>
      </c>
      <c r="J243" s="13">
        <f t="shared" si="23"/>
        <v>-1.7194444830930432E-2</v>
      </c>
      <c r="K243" s="13">
        <f t="shared" si="24"/>
        <v>1.1136656540407986E-2</v>
      </c>
      <c r="L243" s="13">
        <f t="shared" si="25"/>
        <v>2.2475972954945629E-3</v>
      </c>
      <c r="M243" s="13">
        <f t="shared" si="26"/>
        <v>-2.6143662834782256E-3</v>
      </c>
      <c r="N243" s="13">
        <f t="shared" si="27"/>
        <v>-5.5478644377179786E-3</v>
      </c>
      <c r="O243" s="13">
        <f t="shared" si="28"/>
        <v>-1.1975267574026571E-3</v>
      </c>
    </row>
    <row r="244" spans="2:15" x14ac:dyDescent="0.2">
      <c r="B244" s="1">
        <v>45072</v>
      </c>
      <c r="C244" s="15">
        <f>VLOOKUP(B244, SAN.MC!$A$1:$G$256, 6, 0)</f>
        <v>3.1244529999999999</v>
      </c>
      <c r="D244" s="15">
        <f>VLOOKUP(B244, TEF.MC!$A$1:$G$256, 6, 0)</f>
        <v>3.6347320000000001</v>
      </c>
      <c r="E244">
        <f>VLOOKUP(B244, ACS.MC!$A$1:$G$256, 6, 0)</f>
        <v>28.959724000000001</v>
      </c>
      <c r="F244">
        <f>VLOOKUP(B244, IBE.MC!$A$1:$G$256, 6, 0)</f>
        <v>10.991011</v>
      </c>
      <c r="G244">
        <f>VLOOKUP(B244, IAG.MC!$A$1:$G$256, 6, 0)</f>
        <v>1.8075000000000001</v>
      </c>
      <c r="H244">
        <f>VLOOKUP(B244, IBEX35!$A$1:$G$256, 6, 0)</f>
        <v>9191.0996090000008</v>
      </c>
      <c r="J244" s="13">
        <f t="shared" si="23"/>
        <v>1.3224397720995073E-2</v>
      </c>
      <c r="K244" s="13">
        <f t="shared" si="24"/>
        <v>0</v>
      </c>
      <c r="L244" s="13">
        <f t="shared" si="25"/>
        <v>5.8027008348375663E-3</v>
      </c>
      <c r="M244" s="13">
        <f t="shared" si="26"/>
        <v>9.1803879096685088E-3</v>
      </c>
      <c r="N244" s="13">
        <f t="shared" si="27"/>
        <v>-2.7624326959100726E-3</v>
      </c>
      <c r="O244" s="13">
        <f t="shared" si="28"/>
        <v>8.1935438288443067E-3</v>
      </c>
    </row>
    <row r="245" spans="2:15" x14ac:dyDescent="0.2">
      <c r="B245" s="1">
        <v>45071</v>
      </c>
      <c r="C245" s="15">
        <f>VLOOKUP(B245, SAN.MC!$A$1:$G$256, 6, 0)</f>
        <v>3.0834060000000001</v>
      </c>
      <c r="D245" s="15">
        <f>VLOOKUP(B245, TEF.MC!$A$1:$G$256, 6, 0)</f>
        <v>3.6347320000000001</v>
      </c>
      <c r="E245">
        <f>VLOOKUP(B245, ACS.MC!$A$1:$G$256, 6, 0)</f>
        <v>28.792166000000002</v>
      </c>
      <c r="F245">
        <f>VLOOKUP(B245, IBE.MC!$A$1:$G$256, 6, 0)</f>
        <v>10.890571</v>
      </c>
      <c r="G245">
        <f>VLOOKUP(B245, IAG.MC!$A$1:$G$256, 6, 0)</f>
        <v>1.8125</v>
      </c>
      <c r="H245">
        <f>VLOOKUP(B245, IBEX35!$A$1:$G$256, 6, 0)</f>
        <v>9116.0996090000008</v>
      </c>
      <c r="J245" s="13">
        <f t="shared" si="23"/>
        <v>4.2882155565950016E-3</v>
      </c>
      <c r="K245" s="13">
        <f t="shared" si="24"/>
        <v>-1.6908936320816744E-2</v>
      </c>
      <c r="L245" s="13">
        <f t="shared" si="25"/>
        <v>3.5627230199521821E-3</v>
      </c>
      <c r="M245" s="13">
        <f t="shared" si="26"/>
        <v>-1.870831235465692E-2</v>
      </c>
      <c r="N245" s="13">
        <f t="shared" si="27"/>
        <v>2.4858457767079354E-3</v>
      </c>
      <c r="O245" s="13">
        <f t="shared" si="28"/>
        <v>-5.1861636201099032E-3</v>
      </c>
    </row>
    <row r="246" spans="2:15" x14ac:dyDescent="0.2">
      <c r="B246" s="1">
        <v>45070</v>
      </c>
      <c r="C246" s="15">
        <f>VLOOKUP(B246, SAN.MC!$A$1:$G$256, 6, 0)</f>
        <v>3.0702120000000002</v>
      </c>
      <c r="D246" s="15">
        <f>VLOOKUP(B246, TEF.MC!$A$1:$G$256, 6, 0)</f>
        <v>3.6967140000000001</v>
      </c>
      <c r="E246">
        <f>VLOOKUP(B246, ACS.MC!$A$1:$G$256, 6, 0)</f>
        <v>28.689769999999999</v>
      </c>
      <c r="F246">
        <f>VLOOKUP(B246, IBE.MC!$A$1:$G$256, 6, 0)</f>
        <v>11.096233</v>
      </c>
      <c r="G246">
        <f>VLOOKUP(B246, IAG.MC!$A$1:$G$256, 6, 0)</f>
        <v>1.8080000000000001</v>
      </c>
      <c r="H246">
        <f>VLOOKUP(B246, IBEX35!$A$1:$G$256, 6, 0)</f>
        <v>9163.5</v>
      </c>
      <c r="J246" s="13">
        <f t="shared" si="23"/>
        <v>-2.6232497345059336E-2</v>
      </c>
      <c r="K246" s="13">
        <f t="shared" si="24"/>
        <v>5.0056971288935765E-4</v>
      </c>
      <c r="L246" s="13">
        <f t="shared" si="25"/>
        <v>-8.7223587961358876E-3</v>
      </c>
      <c r="M246" s="13">
        <f t="shared" si="26"/>
        <v>-3.8718293309752158E-3</v>
      </c>
      <c r="N246" s="13">
        <f t="shared" si="27"/>
        <v>-1.3459892808684733E-2</v>
      </c>
      <c r="O246" s="13">
        <f t="shared" si="28"/>
        <v>-1.1231500828760068E-2</v>
      </c>
    </row>
    <row r="247" spans="2:15" x14ac:dyDescent="0.2">
      <c r="B247" s="1">
        <v>45069</v>
      </c>
      <c r="C247" s="15">
        <f>VLOOKUP(B247, SAN.MC!$A$1:$G$256, 6, 0)</f>
        <v>3.1518169999999999</v>
      </c>
      <c r="D247" s="15">
        <f>VLOOKUP(B247, TEF.MC!$A$1:$G$256, 6, 0)</f>
        <v>3.6948639999999999</v>
      </c>
      <c r="E247">
        <f>VLOOKUP(B247, ACS.MC!$A$1:$G$256, 6, 0)</f>
        <v>28.941106999999999</v>
      </c>
      <c r="F247">
        <f>VLOOKUP(B247, IBE.MC!$A$1:$G$256, 6, 0)</f>
        <v>11.139279</v>
      </c>
      <c r="G247">
        <f>VLOOKUP(B247, IAG.MC!$A$1:$G$256, 6, 0)</f>
        <v>1.8325</v>
      </c>
      <c r="H247">
        <f>VLOOKUP(B247, IBEX35!$A$1:$G$256, 6, 0)</f>
        <v>9267</v>
      </c>
      <c r="J247" s="13">
        <f t="shared" si="23"/>
        <v>-1.3944129365920193E-3</v>
      </c>
      <c r="K247" s="13">
        <f t="shared" si="24"/>
        <v>1.1077502600366346E-2</v>
      </c>
      <c r="L247" s="13">
        <f t="shared" si="25"/>
        <v>-1.2783790062531362E-2</v>
      </c>
      <c r="M247" s="13">
        <f t="shared" si="26"/>
        <v>2.1491252975672707E-3</v>
      </c>
      <c r="N247" s="13">
        <f t="shared" si="27"/>
        <v>2.7322421368730716E-3</v>
      </c>
      <c r="O247" s="13">
        <f t="shared" si="28"/>
        <v>-4.0921874896597387E-3</v>
      </c>
    </row>
    <row r="248" spans="2:15" x14ac:dyDescent="0.2">
      <c r="B248" s="1">
        <v>45068</v>
      </c>
      <c r="C248" s="15">
        <f>VLOOKUP(B248, SAN.MC!$A$1:$G$256, 6, 0)</f>
        <v>3.156215</v>
      </c>
      <c r="D248" s="15">
        <f>VLOOKUP(B248, TEF.MC!$A$1:$G$256, 6, 0)</f>
        <v>3.6541600000000001</v>
      </c>
      <c r="E248">
        <f>VLOOKUP(B248, ACS.MC!$A$1:$G$256, 6, 0)</f>
        <v>29.313459000000002</v>
      </c>
      <c r="F248">
        <f>VLOOKUP(B248, IBE.MC!$A$1:$G$256, 6, 0)</f>
        <v>11.115365000000001</v>
      </c>
      <c r="G248">
        <f>VLOOKUP(B248, IAG.MC!$A$1:$G$256, 6, 0)</f>
        <v>1.8274999999999999</v>
      </c>
      <c r="H248">
        <f>VLOOKUP(B248, IBEX35!$A$1:$G$256, 6, 0)</f>
        <v>9305</v>
      </c>
      <c r="J248" s="13">
        <f t="shared" si="23"/>
        <v>9.17633277179585E-3</v>
      </c>
      <c r="K248" s="13">
        <f t="shared" si="24"/>
        <v>6.349339234621036E-3</v>
      </c>
      <c r="L248" s="13">
        <f t="shared" si="25"/>
        <v>6.6910810139242868E-3</v>
      </c>
      <c r="M248" s="13">
        <f t="shared" si="26"/>
        <v>-8.6024040236817932E-4</v>
      </c>
      <c r="N248" s="13">
        <f t="shared" si="27"/>
        <v>6.863444924982429E-3</v>
      </c>
      <c r="O248" s="13">
        <f t="shared" si="28"/>
        <v>5.7661895545802477E-3</v>
      </c>
    </row>
    <row r="249" spans="2:15" x14ac:dyDescent="0.2">
      <c r="B249" s="1">
        <v>45065</v>
      </c>
      <c r="C249" s="15">
        <f>VLOOKUP(B249, SAN.MC!$A$1:$G$256, 6, 0)</f>
        <v>3.1273849999999999</v>
      </c>
      <c r="D249" s="15">
        <f>VLOOKUP(B249, TEF.MC!$A$1:$G$256, 6, 0)</f>
        <v>3.6310319999999998</v>
      </c>
      <c r="E249">
        <f>VLOOKUP(B249, ACS.MC!$A$1:$G$256, 6, 0)</f>
        <v>29.117975000000001</v>
      </c>
      <c r="F249">
        <f>VLOOKUP(B249, IBE.MC!$A$1:$G$256, 6, 0)</f>
        <v>11.124931</v>
      </c>
      <c r="G249">
        <f>VLOOKUP(B249, IAG.MC!$A$1:$G$256, 6, 0)</f>
        <v>1.8149999999999999</v>
      </c>
      <c r="H249">
        <f>VLOOKUP(B249, IBEX35!$A$1:$G$256, 6, 0)</f>
        <v>9251.5</v>
      </c>
      <c r="J249" s="13">
        <f t="shared" si="23"/>
        <v>7.6856962027429462E-3</v>
      </c>
      <c r="K249" s="13">
        <f t="shared" si="24"/>
        <v>-2.2903870740803678E-3</v>
      </c>
      <c r="L249" s="13">
        <f t="shared" si="25"/>
        <v>1.9200730820382282E-3</v>
      </c>
      <c r="M249" s="13">
        <f t="shared" si="26"/>
        <v>1.0806289803859011E-2</v>
      </c>
      <c r="N249" s="13">
        <f t="shared" si="27"/>
        <v>-1.6935668363846367E-2</v>
      </c>
      <c r="O249" s="13">
        <f t="shared" si="28"/>
        <v>4.1593586835943011E-3</v>
      </c>
    </row>
    <row r="250" spans="2:15" x14ac:dyDescent="0.2">
      <c r="B250" s="1">
        <v>45064</v>
      </c>
      <c r="C250" s="15">
        <f>VLOOKUP(B250, SAN.MC!$A$1:$G$256, 6, 0)</f>
        <v>3.1034410000000001</v>
      </c>
      <c r="D250" s="15">
        <f>VLOOKUP(B250, TEF.MC!$A$1:$G$256, 6, 0)</f>
        <v>3.6393580000000001</v>
      </c>
      <c r="E250">
        <f>VLOOKUP(B250, ACS.MC!$A$1:$G$256, 6, 0)</f>
        <v>29.06212</v>
      </c>
      <c r="F250">
        <f>VLOOKUP(B250, IBE.MC!$A$1:$G$256, 6, 0)</f>
        <v>11.005359</v>
      </c>
      <c r="G250">
        <f>VLOOKUP(B250, IAG.MC!$A$1:$G$256, 6, 0)</f>
        <v>1.8460000000000001</v>
      </c>
      <c r="H250">
        <f>VLOOKUP(B250, IBEX35!$A$1:$G$256, 6, 0)</f>
        <v>9213.0996090000008</v>
      </c>
      <c r="J250" s="13">
        <f t="shared" si="23"/>
        <v>5.5262210576039689E-3</v>
      </c>
      <c r="K250" s="13">
        <f t="shared" si="24"/>
        <v>-5.082022578508505E-4</v>
      </c>
      <c r="L250" s="13">
        <f t="shared" si="25"/>
        <v>7.3942829080166231E-3</v>
      </c>
      <c r="M250" s="13">
        <f t="shared" si="26"/>
        <v>-1.338240050812577E-2</v>
      </c>
      <c r="N250" s="13">
        <f t="shared" si="27"/>
        <v>7.8858328439285977E-3</v>
      </c>
      <c r="O250" s="13">
        <f t="shared" si="28"/>
        <v>1.6282491079678928E-4</v>
      </c>
    </row>
    <row r="251" spans="2:15" x14ac:dyDescent="0.2">
      <c r="B251" s="1">
        <v>45063</v>
      </c>
      <c r="C251" s="15">
        <f>VLOOKUP(B251, SAN.MC!$A$1:$G$256, 6, 0)</f>
        <v>3.086338</v>
      </c>
      <c r="D251" s="15">
        <f>VLOOKUP(B251, TEF.MC!$A$1:$G$256, 6, 0)</f>
        <v>3.6412079999999998</v>
      </c>
      <c r="E251">
        <f>VLOOKUP(B251, ACS.MC!$A$1:$G$256, 6, 0)</f>
        <v>28.848019000000001</v>
      </c>
      <c r="F251">
        <f>VLOOKUP(B251, IBE.MC!$A$1:$G$256, 6, 0)</f>
        <v>11.153627</v>
      </c>
      <c r="G251">
        <f>VLOOKUP(B251, IAG.MC!$A$1:$G$256, 6, 0)</f>
        <v>1.8314999999999999</v>
      </c>
      <c r="H251">
        <f>VLOOKUP(B251, IBEX35!$A$1:$G$256, 6, 0)</f>
        <v>9211.5996090000008</v>
      </c>
      <c r="J251" s="13">
        <f t="shared" si="23"/>
        <v>5.8753009974465342E-3</v>
      </c>
      <c r="K251" s="13">
        <f t="shared" si="24"/>
        <v>-6.584052266802835E-3</v>
      </c>
      <c r="L251" s="13">
        <f t="shared" si="25"/>
        <v>1.6146892565953069E-3</v>
      </c>
      <c r="M251" s="13">
        <f t="shared" si="26"/>
        <v>-1.5741764359978386E-2</v>
      </c>
      <c r="N251" s="13">
        <f t="shared" si="27"/>
        <v>2.4317307650706214E-2</v>
      </c>
      <c r="O251" s="13">
        <f t="shared" si="28"/>
        <v>2.1952101409097404E-3</v>
      </c>
    </row>
    <row r="252" spans="2:15" x14ac:dyDescent="0.2">
      <c r="B252" s="1">
        <v>45062</v>
      </c>
      <c r="C252" s="15">
        <f>VLOOKUP(B252, SAN.MC!$A$1:$G$256, 6, 0)</f>
        <v>3.0682580000000002</v>
      </c>
      <c r="D252" s="15">
        <f>VLOOKUP(B252, TEF.MC!$A$1:$G$256, 6, 0)</f>
        <v>3.6652610000000001</v>
      </c>
      <c r="E252">
        <f>VLOOKUP(B252, ACS.MC!$A$1:$G$256, 6, 0)</f>
        <v>28.801476000000001</v>
      </c>
      <c r="F252">
        <f>VLOOKUP(B252, IBE.MC!$A$1:$G$256, 6, 0)</f>
        <v>11.330594</v>
      </c>
      <c r="G252">
        <f>VLOOKUP(B252, IAG.MC!$A$1:$G$256, 6, 0)</f>
        <v>1.7875000000000001</v>
      </c>
      <c r="H252">
        <f>VLOOKUP(B252, IBEX35!$A$1:$G$256, 6, 0)</f>
        <v>9191.4003909999992</v>
      </c>
      <c r="J252" s="13">
        <f t="shared" si="23"/>
        <v>-2.7037410387559984E-3</v>
      </c>
      <c r="K252" s="13">
        <f t="shared" si="24"/>
        <v>9.1279255293580074E-3</v>
      </c>
      <c r="L252" s="13">
        <f t="shared" si="25"/>
        <v>5.8347115466814382E-3</v>
      </c>
      <c r="M252" s="13">
        <f t="shared" si="26"/>
        <v>4.2222056597728474E-4</v>
      </c>
      <c r="N252" s="13">
        <f t="shared" si="27"/>
        <v>5.0476831796529625E-3</v>
      </c>
      <c r="O252" s="13">
        <f t="shared" si="28"/>
        <v>-1.0982074387792936E-3</v>
      </c>
    </row>
    <row r="253" spans="2:15" x14ac:dyDescent="0.2">
      <c r="B253" s="1">
        <v>45061</v>
      </c>
      <c r="C253" s="15">
        <f>VLOOKUP(B253, SAN.MC!$A$1:$G$256, 6, 0)</f>
        <v>3.076565</v>
      </c>
      <c r="D253" s="15">
        <f>VLOOKUP(B253, TEF.MC!$A$1:$G$256, 6, 0)</f>
        <v>3.6319569999999999</v>
      </c>
      <c r="E253">
        <f>VLOOKUP(B253, ACS.MC!$A$1:$G$256, 6, 0)</f>
        <v>28.633917</v>
      </c>
      <c r="F253">
        <f>VLOOKUP(B253, IBE.MC!$A$1:$G$256, 6, 0)</f>
        <v>11.325811</v>
      </c>
      <c r="G253">
        <f>VLOOKUP(B253, IAG.MC!$A$1:$G$256, 6, 0)</f>
        <v>1.7785</v>
      </c>
      <c r="H253">
        <f>VLOOKUP(B253, IBEX35!$A$1:$G$256, 6, 0)</f>
        <v>9201.5</v>
      </c>
      <c r="J253" s="13">
        <f t="shared" si="23"/>
        <v>1.7489318441581772E-3</v>
      </c>
      <c r="K253" s="13">
        <f t="shared" si="24"/>
        <v>1.2301545707703974E-2</v>
      </c>
      <c r="L253" s="13">
        <f t="shared" si="25"/>
        <v>-1.516398068540179E-2</v>
      </c>
      <c r="M253" s="13">
        <f t="shared" si="26"/>
        <v>-2.1092342748461916E-3</v>
      </c>
      <c r="N253" s="13">
        <f t="shared" si="27"/>
        <v>1.969889478993805E-3</v>
      </c>
      <c r="O253" s="13">
        <f t="shared" si="28"/>
        <v>-3.5365969829838817E-3</v>
      </c>
    </row>
    <row r="254" spans="2:15" x14ac:dyDescent="0.2">
      <c r="B254" s="1">
        <v>45058</v>
      </c>
      <c r="C254" s="15">
        <f>VLOOKUP(B254, SAN.MC!$A$1:$G$256, 6, 0)</f>
        <v>3.0711889999999999</v>
      </c>
      <c r="D254" s="15">
        <f>VLOOKUP(B254, TEF.MC!$A$1:$G$256, 6, 0)</f>
        <v>3.5875520000000001</v>
      </c>
      <c r="E254">
        <f>VLOOKUP(B254, ACS.MC!$A$1:$G$256, 6, 0)</f>
        <v>29.071429999999999</v>
      </c>
      <c r="F254">
        <f>VLOOKUP(B254, IBE.MC!$A$1:$G$256, 6, 0)</f>
        <v>11.349724999999999</v>
      </c>
      <c r="G254">
        <f>VLOOKUP(B254, IAG.MC!$A$1:$G$256, 6, 0)</f>
        <v>1.7749999999999999</v>
      </c>
      <c r="H254">
        <f>VLOOKUP(B254, IBEX35!$A$1:$G$256, 6, 0)</f>
        <v>9234.0996090000008</v>
      </c>
      <c r="J254" s="13">
        <f t="shared" si="23"/>
        <v>1.1141957165395878E-3</v>
      </c>
      <c r="K254" s="13">
        <f t="shared" si="24"/>
        <v>8.0258730560099408E-3</v>
      </c>
      <c r="L254" s="13">
        <f t="shared" si="25"/>
        <v>-1.4306440212324856E-2</v>
      </c>
      <c r="M254" s="13">
        <f t="shared" si="26"/>
        <v>8.0388508639202879E-3</v>
      </c>
      <c r="N254" s="13">
        <f t="shared" si="27"/>
        <v>1.1273958353081857E-3</v>
      </c>
      <c r="O254" s="13">
        <f t="shared" si="28"/>
        <v>5.5709634421700141E-3</v>
      </c>
    </row>
    <row r="255" spans="2:15" x14ac:dyDescent="0.2">
      <c r="B255" s="1">
        <v>45057</v>
      </c>
      <c r="C255" s="15">
        <f>VLOOKUP(B255, SAN.MC!$A$1:$G$256, 6, 0)</f>
        <v>3.0677690000000002</v>
      </c>
      <c r="D255" s="15">
        <f>VLOOKUP(B255, TEF.MC!$A$1:$G$256, 6, 0)</f>
        <v>3.5588739999999999</v>
      </c>
      <c r="E255">
        <f>VLOOKUP(B255, ACS.MC!$A$1:$G$256, 6, 0)</f>
        <v>29.490328000000002</v>
      </c>
      <c r="F255">
        <f>VLOOKUP(B255, IBE.MC!$A$1:$G$256, 6, 0)</f>
        <v>11.258851999999999</v>
      </c>
      <c r="G255">
        <f>VLOOKUP(B255, IAG.MC!$A$1:$G$256, 6, 0)</f>
        <v>1.7729999999999999</v>
      </c>
      <c r="H255">
        <f>VLOOKUP(B255, IBEX35!$A$1:$G$256, 6, 0)</f>
        <v>9182.7998050000006</v>
      </c>
      <c r="J255" s="13">
        <f t="shared" si="23"/>
        <v>-1.4325884674273801E-3</v>
      </c>
      <c r="K255" s="13">
        <f t="shared" si="24"/>
        <v>-4.6472757487458181E-2</v>
      </c>
      <c r="L255" s="13">
        <f t="shared" si="25"/>
        <v>-1.1299543061781124E-2</v>
      </c>
      <c r="M255" s="13">
        <f t="shared" si="26"/>
        <v>-4.2464229498097815E-4</v>
      </c>
      <c r="N255" s="13">
        <f t="shared" si="27"/>
        <v>-1.4090463089347892E-3</v>
      </c>
      <c r="O255" s="13">
        <f t="shared" si="28"/>
        <v>1.6456895896949856E-3</v>
      </c>
    </row>
    <row r="256" spans="2:15" x14ac:dyDescent="0.2">
      <c r="B256" s="1">
        <v>45056</v>
      </c>
      <c r="C256" s="15">
        <f>VLOOKUP(B256, SAN.MC!$A$1:$G$256, 6, 0)</f>
        <v>3.0721669999999999</v>
      </c>
      <c r="D256" s="15">
        <f>VLOOKUP(B256, TEF.MC!$A$1:$G$256, 6, 0)</f>
        <v>3.7281680000000001</v>
      </c>
      <c r="E256">
        <f>VLOOKUP(B256, ACS.MC!$A$1:$G$256, 6, 0)</f>
        <v>29.825444999999998</v>
      </c>
      <c r="F256">
        <f>VLOOKUP(B256, IBE.MC!$A$1:$G$256, 6, 0)</f>
        <v>11.263634</v>
      </c>
      <c r="G256">
        <f>VLOOKUP(B256, IAG.MC!$A$1:$G$256, 6, 0)</f>
        <v>1.7755000000000001</v>
      </c>
      <c r="H256">
        <f>VLOOKUP(B256, IBEX35!$A$1:$G$256, 6, 0)</f>
        <v>9167.7001949999994</v>
      </c>
      <c r="J256" s="13">
        <f t="shared" si="23"/>
        <v>-1.3115372547683912E-2</v>
      </c>
      <c r="K256" s="13">
        <f t="shared" si="24"/>
        <v>5.7234402799553408E-3</v>
      </c>
      <c r="L256" s="13">
        <f t="shared" si="25"/>
        <v>1.561799209809669E-3</v>
      </c>
      <c r="M256" s="13">
        <f t="shared" si="26"/>
        <v>-1.2730233659985343E-3</v>
      </c>
      <c r="N256" s="13">
        <f t="shared" si="27"/>
        <v>-7.8541778229379421E-3</v>
      </c>
      <c r="O256" s="13">
        <f t="shared" si="28"/>
        <v>-1.6892908093468718E-3</v>
      </c>
    </row>
    <row r="257" spans="2:15" x14ac:dyDescent="0.2">
      <c r="B257" s="1">
        <v>45055</v>
      </c>
      <c r="C257" s="15">
        <f>VLOOKUP(B257, SAN.MC!$A$1:$G$256, 6, 0)</f>
        <v>3.1127250000000002</v>
      </c>
      <c r="D257" s="15">
        <f>VLOOKUP(B257, TEF.MC!$A$1:$G$256, 6, 0)</f>
        <v>3.7068910000000002</v>
      </c>
      <c r="E257">
        <f>VLOOKUP(B257, ACS.MC!$A$1:$G$256, 6, 0)</f>
        <v>29.7789</v>
      </c>
      <c r="F257">
        <f>VLOOKUP(B257, IBE.MC!$A$1:$G$256, 6, 0)</f>
        <v>11.277982</v>
      </c>
      <c r="G257">
        <f>VLOOKUP(B257, IAG.MC!$A$1:$G$256, 6, 0)</f>
        <v>1.7895000000000001</v>
      </c>
      <c r="H257">
        <f>VLOOKUP(B257, IBEX35!$A$1:$G$256, 6, 0)</f>
        <v>9183.2001949999994</v>
      </c>
      <c r="J257" s="13">
        <f t="shared" si="23"/>
        <v>-6.2786989579921148E-4</v>
      </c>
      <c r="K257" s="13">
        <f t="shared" si="24"/>
        <v>-1.4960918409391219E-3</v>
      </c>
      <c r="L257" s="13">
        <f t="shared" si="25"/>
        <v>6.2536970340141477E-4</v>
      </c>
      <c r="M257" s="13">
        <f t="shared" si="26"/>
        <v>-8.4784186970401291E-4</v>
      </c>
      <c r="N257" s="13">
        <f t="shared" si="27"/>
        <v>3.8740247427501991E-2</v>
      </c>
      <c r="O257" s="13">
        <f t="shared" si="28"/>
        <v>-3.0552210560429059E-3</v>
      </c>
    </row>
    <row r="258" spans="2:15" x14ac:dyDescent="0.2">
      <c r="B258" s="1">
        <v>45054</v>
      </c>
      <c r="C258" s="15">
        <f>VLOOKUP(B258, SAN.MC!$A$1:$G$256, 6, 0)</f>
        <v>3.1146799999999999</v>
      </c>
      <c r="D258" s="15">
        <f>VLOOKUP(B258, TEF.MC!$A$1:$G$256, 6, 0)</f>
        <v>3.7124410000000001</v>
      </c>
      <c r="E258">
        <f>VLOOKUP(B258, ACS.MC!$A$1:$G$256, 6, 0)</f>
        <v>29.760283000000001</v>
      </c>
      <c r="F258">
        <f>VLOOKUP(B258, IBE.MC!$A$1:$G$256, 6, 0)</f>
        <v>11.287547999999999</v>
      </c>
      <c r="G258">
        <f>VLOOKUP(B258, IAG.MC!$A$1:$G$256, 6, 0)</f>
        <v>1.7215</v>
      </c>
      <c r="H258">
        <f>VLOOKUP(B258, IBEX35!$A$1:$G$256, 6, 0)</f>
        <v>9211.2998050000006</v>
      </c>
      <c r="J258" s="13">
        <f t="shared" si="23"/>
        <v>1.1995191806065704E-2</v>
      </c>
      <c r="K258" s="13">
        <f t="shared" si="24"/>
        <v>-2.9857540682554878E-3</v>
      </c>
      <c r="L258" s="13">
        <f t="shared" si="25"/>
        <v>6.5903901300269517E-3</v>
      </c>
      <c r="M258" s="13">
        <f t="shared" si="26"/>
        <v>0</v>
      </c>
      <c r="N258" s="13">
        <f t="shared" si="27"/>
        <v>8.7171297107966001E-4</v>
      </c>
      <c r="O258" s="13">
        <f t="shared" si="28"/>
        <v>6.9722376024200314E-3</v>
      </c>
    </row>
    <row r="259" spans="2:15" x14ac:dyDescent="0.2">
      <c r="B259" s="1">
        <v>45051</v>
      </c>
      <c r="C259" s="15">
        <f>VLOOKUP(B259, SAN.MC!$A$1:$G$256, 6, 0)</f>
        <v>3.0775420000000002</v>
      </c>
      <c r="D259" s="15">
        <f>VLOOKUP(B259, TEF.MC!$A$1:$G$256, 6, 0)</f>
        <v>3.7235420000000001</v>
      </c>
      <c r="E259">
        <f>VLOOKUP(B259, ACS.MC!$A$1:$G$256, 6, 0)</f>
        <v>29.564796000000001</v>
      </c>
      <c r="F259">
        <f>VLOOKUP(B259, IBE.MC!$A$1:$G$256, 6, 0)</f>
        <v>11.287547999999999</v>
      </c>
      <c r="G259">
        <f>VLOOKUP(B259, IAG.MC!$A$1:$G$256, 6, 0)</f>
        <v>1.72</v>
      </c>
      <c r="H259">
        <f>VLOOKUP(B259, IBEX35!$A$1:$G$256, 6, 0)</f>
        <v>9147.2998050000006</v>
      </c>
      <c r="J259" s="13">
        <f t="shared" si="23"/>
        <v>2.9650795469205085E-2</v>
      </c>
      <c r="K259" s="13">
        <f t="shared" si="24"/>
        <v>4.4818459091947871E-3</v>
      </c>
      <c r="L259" s="13">
        <f t="shared" si="25"/>
        <v>1.6188206640939014E-2</v>
      </c>
      <c r="M259" s="13">
        <f t="shared" si="26"/>
        <v>-3.8063296243678194E-3</v>
      </c>
      <c r="N259" s="13">
        <f t="shared" si="27"/>
        <v>2.4125912729957871E-2</v>
      </c>
      <c r="O259" s="13">
        <f t="shared" si="28"/>
        <v>1.1401450472172196E-2</v>
      </c>
    </row>
    <row r="260" spans="2:15" x14ac:dyDescent="0.2">
      <c r="B260" s="1">
        <v>45050</v>
      </c>
      <c r="C260" s="15">
        <f>VLOOKUP(B260, SAN.MC!$A$1:$G$256, 6, 0)</f>
        <v>2.9876299999999998</v>
      </c>
      <c r="D260" s="15">
        <f>VLOOKUP(B260, TEF.MC!$A$1:$G$256, 6, 0)</f>
        <v>3.7068910000000002</v>
      </c>
      <c r="E260">
        <f>VLOOKUP(B260, ACS.MC!$A$1:$G$256, 6, 0)</f>
        <v>29.090047999999999</v>
      </c>
      <c r="F260">
        <f>VLOOKUP(B260, IBE.MC!$A$1:$G$256, 6, 0)</f>
        <v>11.330594</v>
      </c>
      <c r="G260">
        <f>VLOOKUP(B260, IAG.MC!$A$1:$G$256, 6, 0)</f>
        <v>1.679</v>
      </c>
      <c r="H260">
        <f>VLOOKUP(B260, IBEX35!$A$1:$G$256, 6, 0)</f>
        <v>9043.5996090000008</v>
      </c>
      <c r="J260" s="13">
        <f t="shared" si="23"/>
        <v>-2.0398830176735817E-2</v>
      </c>
      <c r="K260" s="13">
        <f t="shared" si="24"/>
        <v>-1.6336770892078932E-2</v>
      </c>
      <c r="L260" s="13">
        <f t="shared" si="25"/>
        <v>-8.2855727901181165E-3</v>
      </c>
      <c r="M260" s="13">
        <f t="shared" si="26"/>
        <v>9.7561957116298979E-3</v>
      </c>
      <c r="N260" s="13">
        <f t="shared" si="27"/>
        <v>-7.4173311432223655E-3</v>
      </c>
      <c r="O260" s="13">
        <f t="shared" si="28"/>
        <v>-3.6534299294902327E-3</v>
      </c>
    </row>
    <row r="261" spans="2:15" x14ac:dyDescent="0.2">
      <c r="B261" s="1">
        <v>45049</v>
      </c>
      <c r="C261" s="15">
        <f>VLOOKUP(B261, SAN.MC!$A$1:$G$256, 6, 0)</f>
        <v>3.0491999999999999</v>
      </c>
      <c r="D261" s="15">
        <f>VLOOKUP(B261, TEF.MC!$A$1:$G$256, 6, 0)</f>
        <v>3.7679469999999999</v>
      </c>
      <c r="E261">
        <f>VLOOKUP(B261, ACS.MC!$A$1:$G$256, 6, 0)</f>
        <v>29.332077000000002</v>
      </c>
      <c r="F261">
        <f>VLOOKUP(B261, IBE.MC!$A$1:$G$256, 6, 0)</f>
        <v>11.220587999999999</v>
      </c>
      <c r="G261">
        <f>VLOOKUP(B261, IAG.MC!$A$1:$G$256, 6, 0)</f>
        <v>1.6915</v>
      </c>
      <c r="H261">
        <f>VLOOKUP(B261, IBEX35!$A$1:$G$256, 6, 0)</f>
        <v>9076.7001949999994</v>
      </c>
      <c r="J261" s="13">
        <f t="shared" si="23"/>
        <v>5.1414248577545318E-3</v>
      </c>
      <c r="K261" s="13">
        <f t="shared" si="24"/>
        <v>6.4037774474963623E-3</v>
      </c>
      <c r="L261" s="13">
        <f t="shared" si="25"/>
        <v>1.4384183413666533E-2</v>
      </c>
      <c r="M261" s="13">
        <f t="shared" si="26"/>
        <v>-2.1289929426268795E-3</v>
      </c>
      <c r="N261" s="13">
        <f t="shared" si="27"/>
        <v>-1.8741397736156865E-2</v>
      </c>
      <c r="O261" s="13">
        <f t="shared" si="28"/>
        <v>-5.8372076124079797E-4</v>
      </c>
    </row>
    <row r="262" spans="2:15" x14ac:dyDescent="0.2">
      <c r="B262" s="1">
        <v>45048</v>
      </c>
      <c r="C262" s="15">
        <f>VLOOKUP(B262, SAN.MC!$A$1:$G$256, 6, 0)</f>
        <v>3.033563</v>
      </c>
      <c r="D262" s="15">
        <f>VLOOKUP(B262, TEF.MC!$A$1:$G$256, 6, 0)</f>
        <v>3.7438950000000002</v>
      </c>
      <c r="E262">
        <f>VLOOKUP(B262, ACS.MC!$A$1:$G$256, 6, 0)</f>
        <v>28.913179</v>
      </c>
      <c r="F262">
        <f>VLOOKUP(B262, IBE.MC!$A$1:$G$256, 6, 0)</f>
        <v>11.244502000000001</v>
      </c>
      <c r="G262">
        <f>VLOOKUP(B262, IAG.MC!$A$1:$G$256, 6, 0)</f>
        <v>1.7235</v>
      </c>
      <c r="H262">
        <f>VLOOKUP(B262, IBEX35!$A$1:$G$256, 6, 0)</f>
        <v>9082</v>
      </c>
      <c r="J262" s="13">
        <f t="shared" si="23"/>
        <v>-2.6231571158986333E-2</v>
      </c>
      <c r="K262" s="13">
        <f t="shared" si="24"/>
        <v>-1.9090129028193268E-2</v>
      </c>
      <c r="L262" s="13">
        <f t="shared" si="25"/>
        <v>-4.4972974697759568E-3</v>
      </c>
      <c r="M262" s="13">
        <f t="shared" si="26"/>
        <v>-2.1244699593716324E-3</v>
      </c>
      <c r="N262" s="13">
        <f t="shared" si="27"/>
        <v>-2.8968734047590968E-3</v>
      </c>
      <c r="O262" s="13">
        <f t="shared" si="28"/>
        <v>-1.7355672230143952E-2</v>
      </c>
    </row>
    <row r="263" spans="2:15" x14ac:dyDescent="0.2">
      <c r="B263" s="1">
        <v>45044</v>
      </c>
      <c r="C263" s="15">
        <f>VLOOKUP(B263, SAN.MC!$A$1:$G$256, 6, 0)</f>
        <v>3.1141909999999999</v>
      </c>
      <c r="D263" s="15">
        <f>VLOOKUP(B263, TEF.MC!$A$1:$G$256, 6, 0)</f>
        <v>3.8160530000000001</v>
      </c>
      <c r="E263">
        <f>VLOOKUP(B263, ACS.MC!$A$1:$G$256, 6, 0)</f>
        <v>29.043503000000001</v>
      </c>
      <c r="F263">
        <f>VLOOKUP(B263, IBE.MC!$A$1:$G$256, 6, 0)</f>
        <v>11.268416</v>
      </c>
      <c r="G263">
        <f>VLOOKUP(B263, IAG.MC!$A$1:$G$256, 6, 0)</f>
        <v>1.7284999999999999</v>
      </c>
      <c r="H263">
        <f>VLOOKUP(B263, IBEX35!$A$1:$G$256, 6, 0)</f>
        <v>9241</v>
      </c>
      <c r="J263" s="13" t="s">
        <v>46</v>
      </c>
      <c r="K263" s="13" t="s">
        <v>46</v>
      </c>
      <c r="L263" s="13" t="s">
        <v>46</v>
      </c>
      <c r="M263" s="13" t="s">
        <v>46</v>
      </c>
      <c r="N263" s="13" t="s">
        <v>46</v>
      </c>
      <c r="O263" s="13" t="s">
        <v>46</v>
      </c>
    </row>
  </sheetData>
  <sortState ref="B9:H263">
    <sortCondition descending="1" ref="B9:B263"/>
  </sortState>
  <mergeCells count="4">
    <mergeCell ref="J7:O7"/>
    <mergeCell ref="Q16:U16"/>
    <mergeCell ref="L1:N1"/>
    <mergeCell ref="Q1:V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6"/>
  <sheetViews>
    <sheetView zoomScale="119" workbookViewId="0">
      <selection activeCell="I3" sqref="I3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45044</v>
      </c>
      <c r="B2">
        <v>9336.0996090000008</v>
      </c>
      <c r="C2">
        <v>9338.9003909999992</v>
      </c>
      <c r="D2">
        <v>9159.7998050000006</v>
      </c>
      <c r="E2">
        <v>9241</v>
      </c>
      <c r="F2">
        <v>9241</v>
      </c>
      <c r="G2">
        <v>233876400</v>
      </c>
    </row>
    <row r="3" spans="1:7" x14ac:dyDescent="0.2">
      <c r="A3" s="1">
        <v>45048</v>
      </c>
      <c r="B3">
        <v>9257.5</v>
      </c>
      <c r="C3">
        <v>9264.9003909999992</v>
      </c>
      <c r="D3">
        <v>9069.0996090000008</v>
      </c>
      <c r="E3">
        <v>9082</v>
      </c>
      <c r="F3">
        <v>9082</v>
      </c>
      <c r="G3">
        <v>172428700</v>
      </c>
    </row>
    <row r="4" spans="1:7" x14ac:dyDescent="0.2">
      <c r="A4" s="1">
        <v>45049</v>
      </c>
      <c r="B4">
        <v>9117.7998050000006</v>
      </c>
      <c r="C4">
        <v>9132.2001949999994</v>
      </c>
      <c r="D4">
        <v>9035.0996090000008</v>
      </c>
      <c r="E4">
        <v>9076.7001949999994</v>
      </c>
      <c r="F4">
        <v>9076.7001949999994</v>
      </c>
      <c r="G4">
        <v>136589900</v>
      </c>
    </row>
    <row r="5" spans="1:7" x14ac:dyDescent="0.2">
      <c r="A5" s="1">
        <v>45050</v>
      </c>
      <c r="B5">
        <v>9053.7001949999994</v>
      </c>
      <c r="C5">
        <v>9056.5996090000008</v>
      </c>
      <c r="D5">
        <v>8967.2998050000006</v>
      </c>
      <c r="E5">
        <v>9043.5996090000008</v>
      </c>
      <c r="F5">
        <v>9043.5996090000008</v>
      </c>
      <c r="G5">
        <v>150274800</v>
      </c>
    </row>
    <row r="6" spans="1:7" x14ac:dyDescent="0.2">
      <c r="A6" s="1">
        <v>45051</v>
      </c>
      <c r="B6">
        <v>9097.2998050000006</v>
      </c>
      <c r="C6">
        <v>9147.2998050000006</v>
      </c>
      <c r="D6">
        <v>9047.7001949999994</v>
      </c>
      <c r="E6">
        <v>9147.2998050000006</v>
      </c>
      <c r="F6">
        <v>9147.2998050000006</v>
      </c>
      <c r="G6">
        <v>144355000</v>
      </c>
    </row>
    <row r="7" spans="1:7" x14ac:dyDescent="0.2">
      <c r="A7" s="1">
        <v>45054</v>
      </c>
      <c r="B7">
        <v>9162.2998050000006</v>
      </c>
      <c r="C7">
        <v>9221.7998050000006</v>
      </c>
      <c r="D7">
        <v>9157.9003909999992</v>
      </c>
      <c r="E7">
        <v>9211.2998050000006</v>
      </c>
      <c r="F7">
        <v>9211.2998050000006</v>
      </c>
      <c r="G7">
        <v>81672300</v>
      </c>
    </row>
    <row r="8" spans="1:7" x14ac:dyDescent="0.2">
      <c r="A8" s="1">
        <v>45055</v>
      </c>
      <c r="B8">
        <v>9202.0996090000008</v>
      </c>
      <c r="C8">
        <v>9219.5</v>
      </c>
      <c r="D8">
        <v>9130.2001949999994</v>
      </c>
      <c r="E8">
        <v>9183.2001949999994</v>
      </c>
      <c r="F8">
        <v>9183.2001949999994</v>
      </c>
      <c r="G8">
        <v>113458000</v>
      </c>
    </row>
    <row r="9" spans="1:7" x14ac:dyDescent="0.2">
      <c r="A9" s="1">
        <v>45056</v>
      </c>
      <c r="B9">
        <v>9219.7998050000006</v>
      </c>
      <c r="C9">
        <v>9223.2998050000006</v>
      </c>
      <c r="D9">
        <v>9143.7998050000006</v>
      </c>
      <c r="E9">
        <v>9167.7001949999994</v>
      </c>
      <c r="F9">
        <v>9167.7001949999994</v>
      </c>
      <c r="G9">
        <v>103618500</v>
      </c>
    </row>
    <row r="10" spans="1:7" x14ac:dyDescent="0.2">
      <c r="A10" s="1">
        <v>45057</v>
      </c>
      <c r="B10">
        <v>9166.0996090000008</v>
      </c>
      <c r="C10">
        <v>9215.0996090000008</v>
      </c>
      <c r="D10">
        <v>9118</v>
      </c>
      <c r="E10">
        <v>9182.7998050000006</v>
      </c>
      <c r="F10">
        <v>9182.7998050000006</v>
      </c>
      <c r="G10">
        <v>139070300</v>
      </c>
    </row>
    <row r="11" spans="1:7" x14ac:dyDescent="0.2">
      <c r="A11" s="1">
        <v>45058</v>
      </c>
      <c r="B11">
        <v>9218.5996090000008</v>
      </c>
      <c r="C11">
        <v>9276.9003909999992</v>
      </c>
      <c r="D11">
        <v>9213.9003909999992</v>
      </c>
      <c r="E11">
        <v>9234.0996090000008</v>
      </c>
      <c r="F11">
        <v>9234.0996090000008</v>
      </c>
      <c r="G11">
        <v>106389900</v>
      </c>
    </row>
    <row r="12" spans="1:7" x14ac:dyDescent="0.2">
      <c r="A12" s="1">
        <v>45061</v>
      </c>
      <c r="B12">
        <v>9269.0996090000008</v>
      </c>
      <c r="C12">
        <v>9279.5</v>
      </c>
      <c r="D12">
        <v>9162.2998050000006</v>
      </c>
      <c r="E12">
        <v>9201.5</v>
      </c>
      <c r="F12">
        <v>9201.5</v>
      </c>
      <c r="G12">
        <v>92014700</v>
      </c>
    </row>
    <row r="13" spans="1:7" x14ac:dyDescent="0.2">
      <c r="A13" s="1">
        <v>45062</v>
      </c>
      <c r="B13">
        <v>9181.2001949999994</v>
      </c>
      <c r="C13">
        <v>9241.9003909999992</v>
      </c>
      <c r="D13">
        <v>9174.9003909999992</v>
      </c>
      <c r="E13">
        <v>9191.4003909999992</v>
      </c>
      <c r="F13">
        <v>9191.4003909999992</v>
      </c>
      <c r="G13">
        <v>91133400</v>
      </c>
    </row>
    <row r="14" spans="1:7" x14ac:dyDescent="0.2">
      <c r="A14" s="1">
        <v>45063</v>
      </c>
      <c r="B14">
        <v>9148.2001949999994</v>
      </c>
      <c r="C14">
        <v>9218.5996090000008</v>
      </c>
      <c r="D14">
        <v>9125.7001949999994</v>
      </c>
      <c r="E14">
        <v>9211.5996090000008</v>
      </c>
      <c r="F14">
        <v>9211.5996090000008</v>
      </c>
      <c r="G14">
        <v>110933000</v>
      </c>
    </row>
    <row r="15" spans="1:7" x14ac:dyDescent="0.2">
      <c r="A15" s="1">
        <v>45064</v>
      </c>
      <c r="B15">
        <v>9247.2998050000006</v>
      </c>
      <c r="C15">
        <v>9282.2001949999994</v>
      </c>
      <c r="D15">
        <v>9202</v>
      </c>
      <c r="E15">
        <v>9213.0996090000008</v>
      </c>
      <c r="F15">
        <v>9213.0996090000008</v>
      </c>
      <c r="G15">
        <v>105199800</v>
      </c>
    </row>
    <row r="16" spans="1:7" x14ac:dyDescent="0.2">
      <c r="A16" s="1">
        <v>45065</v>
      </c>
      <c r="B16">
        <v>9247.2001949999994</v>
      </c>
      <c r="C16">
        <v>9309.4003909999992</v>
      </c>
      <c r="D16">
        <v>9222.9003909999992</v>
      </c>
      <c r="E16">
        <v>9251.5</v>
      </c>
      <c r="F16">
        <v>9251.5</v>
      </c>
      <c r="G16">
        <v>127277500</v>
      </c>
    </row>
    <row r="17" spans="1:7" x14ac:dyDescent="0.2">
      <c r="A17" s="1">
        <v>45068</v>
      </c>
      <c r="B17">
        <v>9242.7998050000006</v>
      </c>
      <c r="C17">
        <v>9326.5996090000008</v>
      </c>
      <c r="D17">
        <v>9241.9003909999992</v>
      </c>
      <c r="E17">
        <v>9305</v>
      </c>
      <c r="F17">
        <v>9305</v>
      </c>
      <c r="G17">
        <v>96207700</v>
      </c>
    </row>
    <row r="18" spans="1:7" x14ac:dyDescent="0.2">
      <c r="A18" s="1">
        <v>45069</v>
      </c>
      <c r="B18">
        <v>9304.5</v>
      </c>
      <c r="C18">
        <v>9305</v>
      </c>
      <c r="D18">
        <v>9260.0996090000008</v>
      </c>
      <c r="E18">
        <v>9267</v>
      </c>
      <c r="F18">
        <v>9267</v>
      </c>
      <c r="G18">
        <v>82288900</v>
      </c>
    </row>
    <row r="19" spans="1:7" x14ac:dyDescent="0.2">
      <c r="A19" s="1">
        <v>45070</v>
      </c>
      <c r="B19">
        <v>9191.2998050000006</v>
      </c>
      <c r="C19">
        <v>9193.2001949999994</v>
      </c>
      <c r="D19">
        <v>9128.7998050000006</v>
      </c>
      <c r="E19">
        <v>9163.5</v>
      </c>
      <c r="F19">
        <v>9163.5</v>
      </c>
      <c r="G19">
        <v>108838000</v>
      </c>
    </row>
    <row r="20" spans="1:7" x14ac:dyDescent="0.2">
      <c r="A20" s="1">
        <v>45071</v>
      </c>
      <c r="B20">
        <v>9169.5</v>
      </c>
      <c r="C20">
        <v>9188.0996090000008</v>
      </c>
      <c r="D20">
        <v>9116.0996090000008</v>
      </c>
      <c r="E20">
        <v>9116.0996090000008</v>
      </c>
      <c r="F20">
        <v>9116.0996090000008</v>
      </c>
      <c r="G20">
        <v>123786500</v>
      </c>
    </row>
    <row r="21" spans="1:7" x14ac:dyDescent="0.2">
      <c r="A21" s="1">
        <v>45072</v>
      </c>
      <c r="B21">
        <v>9137.7998050000006</v>
      </c>
      <c r="C21">
        <v>9210.9003909999992</v>
      </c>
      <c r="D21">
        <v>9048.2001949999994</v>
      </c>
      <c r="E21">
        <v>9191.0996090000008</v>
      </c>
      <c r="F21">
        <v>9191.0996090000008</v>
      </c>
      <c r="G21">
        <v>99198600</v>
      </c>
    </row>
    <row r="22" spans="1:7" x14ac:dyDescent="0.2">
      <c r="A22" s="1">
        <v>45075</v>
      </c>
      <c r="B22">
        <v>9263.0996090000008</v>
      </c>
      <c r="C22">
        <v>9271.0996090000008</v>
      </c>
      <c r="D22">
        <v>9146.5996090000008</v>
      </c>
      <c r="E22">
        <v>9180.0996090000008</v>
      </c>
      <c r="F22">
        <v>9180.0996090000008</v>
      </c>
      <c r="G22">
        <v>59244300</v>
      </c>
    </row>
    <row r="23" spans="1:7" x14ac:dyDescent="0.2">
      <c r="A23" s="1">
        <v>45076</v>
      </c>
      <c r="B23">
        <v>9189</v>
      </c>
      <c r="C23">
        <v>9248.2998050000006</v>
      </c>
      <c r="D23">
        <v>9156</v>
      </c>
      <c r="E23">
        <v>9167.5</v>
      </c>
      <c r="F23">
        <v>9167.5</v>
      </c>
      <c r="G23">
        <v>111494900</v>
      </c>
    </row>
    <row r="24" spans="1:7" x14ac:dyDescent="0.2">
      <c r="A24" s="1">
        <v>45077</v>
      </c>
      <c r="B24">
        <v>9096.5</v>
      </c>
      <c r="C24">
        <v>9183.4003909999992</v>
      </c>
      <c r="D24">
        <v>9034.9003909999992</v>
      </c>
      <c r="E24">
        <v>9050.2001949999994</v>
      </c>
      <c r="F24">
        <v>9050.2001949999994</v>
      </c>
      <c r="G24">
        <v>401513500</v>
      </c>
    </row>
    <row r="25" spans="1:7" x14ac:dyDescent="0.2">
      <c r="A25" s="1">
        <v>45078</v>
      </c>
      <c r="B25">
        <v>9130.2998050000006</v>
      </c>
      <c r="C25">
        <v>9181.5996090000008</v>
      </c>
      <c r="D25">
        <v>9105.9003909999992</v>
      </c>
      <c r="E25">
        <v>9167.5</v>
      </c>
      <c r="F25">
        <v>9167.5</v>
      </c>
      <c r="G25">
        <v>109883600</v>
      </c>
    </row>
    <row r="26" spans="1:7" x14ac:dyDescent="0.2">
      <c r="A26" s="1">
        <v>45079</v>
      </c>
      <c r="B26">
        <v>9216.2001949999994</v>
      </c>
      <c r="C26">
        <v>9324.7998050000006</v>
      </c>
      <c r="D26">
        <v>9204.2001949999994</v>
      </c>
      <c r="E26">
        <v>9317.2998050000006</v>
      </c>
      <c r="F26">
        <v>9317.2998050000006</v>
      </c>
      <c r="G26">
        <v>132595800</v>
      </c>
    </row>
    <row r="27" spans="1:7" x14ac:dyDescent="0.2">
      <c r="A27" s="1">
        <v>45082</v>
      </c>
      <c r="B27">
        <v>9352</v>
      </c>
      <c r="C27">
        <v>9382.4003909999992</v>
      </c>
      <c r="D27">
        <v>9276.0996090000008</v>
      </c>
      <c r="E27">
        <v>9289.0996090000008</v>
      </c>
      <c r="F27">
        <v>9289.0996090000008</v>
      </c>
      <c r="G27">
        <v>102104900</v>
      </c>
    </row>
    <row r="28" spans="1:7" x14ac:dyDescent="0.2">
      <c r="A28" s="1">
        <v>45083</v>
      </c>
      <c r="B28">
        <v>9266</v>
      </c>
      <c r="C28">
        <v>9310.7998050000006</v>
      </c>
      <c r="D28">
        <v>9242.2998050000006</v>
      </c>
      <c r="E28">
        <v>9310.7998050000006</v>
      </c>
      <c r="F28">
        <v>9310.7998050000006</v>
      </c>
      <c r="G28">
        <v>94770400</v>
      </c>
    </row>
    <row r="29" spans="1:7" x14ac:dyDescent="0.2">
      <c r="A29" s="1">
        <v>45084</v>
      </c>
      <c r="B29">
        <v>9296.2998050000006</v>
      </c>
      <c r="C29">
        <v>9401.7998050000006</v>
      </c>
      <c r="D29">
        <v>9294.9003909999992</v>
      </c>
      <c r="E29">
        <v>9359.7998050000006</v>
      </c>
      <c r="F29">
        <v>9359.7998050000006</v>
      </c>
      <c r="G29">
        <v>100905200</v>
      </c>
    </row>
    <row r="30" spans="1:7" x14ac:dyDescent="0.2">
      <c r="A30" s="1">
        <v>45085</v>
      </c>
      <c r="B30">
        <v>9358.7001949999994</v>
      </c>
      <c r="C30">
        <v>9427.5996090000008</v>
      </c>
      <c r="D30">
        <v>9331.7001949999994</v>
      </c>
      <c r="E30">
        <v>9338.2998050000006</v>
      </c>
      <c r="F30">
        <v>9338.2998050000006</v>
      </c>
      <c r="G30">
        <v>109449100</v>
      </c>
    </row>
    <row r="31" spans="1:7" x14ac:dyDescent="0.2">
      <c r="A31" s="1">
        <v>45086</v>
      </c>
      <c r="B31">
        <v>9345.7001949999994</v>
      </c>
      <c r="C31">
        <v>9370.4003909999992</v>
      </c>
      <c r="D31">
        <v>9288.5996090000008</v>
      </c>
      <c r="E31">
        <v>9309.7001949999994</v>
      </c>
      <c r="F31">
        <v>9309.7001949999994</v>
      </c>
      <c r="G31">
        <v>84882800</v>
      </c>
    </row>
    <row r="32" spans="1:7" x14ac:dyDescent="0.2">
      <c r="A32" s="1">
        <v>45089</v>
      </c>
      <c r="B32">
        <v>9345.9003909999992</v>
      </c>
      <c r="C32">
        <v>9382.0996090000008</v>
      </c>
      <c r="D32">
        <v>9328.5</v>
      </c>
      <c r="E32">
        <v>9344.4003909999992</v>
      </c>
      <c r="F32">
        <v>9344.4003909999992</v>
      </c>
      <c r="G32">
        <v>95656000</v>
      </c>
    </row>
    <row r="33" spans="1:7" x14ac:dyDescent="0.2">
      <c r="A33" s="1">
        <v>45090</v>
      </c>
      <c r="B33">
        <v>9357.7001949999994</v>
      </c>
      <c r="C33">
        <v>9357.7001949999994</v>
      </c>
      <c r="D33">
        <v>9261.0996090000008</v>
      </c>
      <c r="E33">
        <v>9333.7001949999994</v>
      </c>
      <c r="F33">
        <v>9333.7001949999994</v>
      </c>
      <c r="G33">
        <v>121829000</v>
      </c>
    </row>
    <row r="34" spans="1:7" x14ac:dyDescent="0.2">
      <c r="A34" s="1">
        <v>45091</v>
      </c>
      <c r="B34">
        <v>9333.7001949999994</v>
      </c>
      <c r="C34">
        <v>9468.0996090000008</v>
      </c>
      <c r="D34">
        <v>9315.9003909999992</v>
      </c>
      <c r="E34">
        <v>9432.7998050000006</v>
      </c>
      <c r="F34">
        <v>9432.7998050000006</v>
      </c>
      <c r="G34">
        <v>155571800</v>
      </c>
    </row>
    <row r="35" spans="1:7" x14ac:dyDescent="0.2">
      <c r="A35" s="1">
        <v>45092</v>
      </c>
      <c r="B35">
        <v>9404.0996090000008</v>
      </c>
      <c r="C35">
        <v>9453.7001949999994</v>
      </c>
      <c r="D35">
        <v>9389.2998050000006</v>
      </c>
      <c r="E35">
        <v>9430.7998050000006</v>
      </c>
      <c r="F35">
        <v>9430.7998050000006</v>
      </c>
      <c r="G35">
        <v>123381800</v>
      </c>
    </row>
    <row r="36" spans="1:7" x14ac:dyDescent="0.2">
      <c r="A36" s="1">
        <v>45093</v>
      </c>
      <c r="B36">
        <v>9465</v>
      </c>
      <c r="C36">
        <v>9580.7998050000006</v>
      </c>
      <c r="D36">
        <v>9428.5</v>
      </c>
      <c r="E36">
        <v>9495</v>
      </c>
      <c r="F36">
        <v>9495</v>
      </c>
      <c r="G36">
        <v>384178600</v>
      </c>
    </row>
    <row r="37" spans="1:7" x14ac:dyDescent="0.2">
      <c r="A37" s="1">
        <v>45096</v>
      </c>
      <c r="B37">
        <v>9457.7998050000006</v>
      </c>
      <c r="C37">
        <v>9503.2001949999994</v>
      </c>
      <c r="D37">
        <v>9412.0996090000008</v>
      </c>
      <c r="E37">
        <v>9431.9003909999992</v>
      </c>
      <c r="F37">
        <v>9431.9003909999992</v>
      </c>
      <c r="G37">
        <v>87888300</v>
      </c>
    </row>
    <row r="38" spans="1:7" x14ac:dyDescent="0.2">
      <c r="A38" s="1">
        <v>45097</v>
      </c>
      <c r="B38">
        <v>9418.2998050000006</v>
      </c>
      <c r="C38">
        <v>9469.0996090000008</v>
      </c>
      <c r="D38">
        <v>9401</v>
      </c>
      <c r="E38">
        <v>9439.7998050000006</v>
      </c>
      <c r="F38">
        <v>9439.7998050000006</v>
      </c>
      <c r="G38">
        <v>87716600</v>
      </c>
    </row>
    <row r="39" spans="1:7" x14ac:dyDescent="0.2">
      <c r="A39" s="1">
        <v>45098</v>
      </c>
      <c r="B39">
        <v>9431.2001949999994</v>
      </c>
      <c r="C39">
        <v>9463.5</v>
      </c>
      <c r="D39">
        <v>9415.2998050000006</v>
      </c>
      <c r="E39">
        <v>9436.4003909999992</v>
      </c>
      <c r="F39">
        <v>9436.4003909999992</v>
      </c>
      <c r="G39">
        <v>101629200</v>
      </c>
    </row>
    <row r="40" spans="1:7" x14ac:dyDescent="0.2">
      <c r="A40" s="1">
        <v>45099</v>
      </c>
      <c r="B40">
        <v>9365.5</v>
      </c>
      <c r="C40">
        <v>9365.9003909999992</v>
      </c>
      <c r="D40">
        <v>9284.2001949999994</v>
      </c>
      <c r="E40">
        <v>9364.7001949999994</v>
      </c>
      <c r="F40">
        <v>9364.7001949999994</v>
      </c>
      <c r="G40">
        <v>108508000</v>
      </c>
    </row>
    <row r="41" spans="1:7" x14ac:dyDescent="0.2">
      <c r="A41" s="1">
        <v>45100</v>
      </c>
      <c r="B41">
        <v>9305.5996090000008</v>
      </c>
      <c r="C41">
        <v>9334.0996090000008</v>
      </c>
      <c r="D41">
        <v>9239.7001949999994</v>
      </c>
      <c r="E41">
        <v>9265.7998050000006</v>
      </c>
      <c r="F41">
        <v>9265.7998050000006</v>
      </c>
      <c r="G41">
        <v>124528300</v>
      </c>
    </row>
    <row r="42" spans="1:7" x14ac:dyDescent="0.2">
      <c r="A42" s="1">
        <v>45103</v>
      </c>
      <c r="B42">
        <v>9283.0996090000008</v>
      </c>
      <c r="C42">
        <v>9306.9003909999992</v>
      </c>
      <c r="D42">
        <v>9198.7001949999994</v>
      </c>
      <c r="E42">
        <v>9274</v>
      </c>
      <c r="F42">
        <v>9274</v>
      </c>
      <c r="G42">
        <v>110992200</v>
      </c>
    </row>
    <row r="43" spans="1:7" x14ac:dyDescent="0.2">
      <c r="A43" s="1">
        <v>45104</v>
      </c>
      <c r="B43">
        <v>9309.2001949999994</v>
      </c>
      <c r="C43">
        <v>9399.5</v>
      </c>
      <c r="D43">
        <v>9287.2998050000006</v>
      </c>
      <c r="E43">
        <v>9393</v>
      </c>
      <c r="F43">
        <v>9393</v>
      </c>
      <c r="G43">
        <v>120553900</v>
      </c>
    </row>
    <row r="44" spans="1:7" x14ac:dyDescent="0.2">
      <c r="A44" s="1">
        <v>45105</v>
      </c>
      <c r="B44">
        <v>9421</v>
      </c>
      <c r="C44">
        <v>9489.7001949999994</v>
      </c>
      <c r="D44">
        <v>9414</v>
      </c>
      <c r="E44">
        <v>9481.2998050000006</v>
      </c>
      <c r="F44">
        <v>9481.2998050000006</v>
      </c>
      <c r="G44">
        <v>126194000</v>
      </c>
    </row>
    <row r="45" spans="1:7" x14ac:dyDescent="0.2">
      <c r="A45" s="1">
        <v>45106</v>
      </c>
      <c r="B45">
        <v>9486.2001949999994</v>
      </c>
      <c r="C45">
        <v>9524.0996090000008</v>
      </c>
      <c r="D45">
        <v>9479</v>
      </c>
      <c r="E45">
        <v>9510.5996090000008</v>
      </c>
      <c r="F45">
        <v>9510.5996090000008</v>
      </c>
      <c r="G45">
        <v>103479900</v>
      </c>
    </row>
    <row r="46" spans="1:7" x14ac:dyDescent="0.2">
      <c r="A46" s="1">
        <v>45107</v>
      </c>
      <c r="B46">
        <v>9541.4003909999992</v>
      </c>
      <c r="C46">
        <v>9642.2998050000006</v>
      </c>
      <c r="D46">
        <v>9534.5996090000008</v>
      </c>
      <c r="E46">
        <v>9593</v>
      </c>
      <c r="F46">
        <v>9593</v>
      </c>
      <c r="G46">
        <v>172932500</v>
      </c>
    </row>
    <row r="47" spans="1:7" x14ac:dyDescent="0.2">
      <c r="A47" s="1">
        <v>45110</v>
      </c>
      <c r="B47">
        <v>9604.2998050000006</v>
      </c>
      <c r="C47">
        <v>9658.5996090000008</v>
      </c>
      <c r="D47">
        <v>9598.5996090000008</v>
      </c>
      <c r="E47">
        <v>9644.7998050000006</v>
      </c>
      <c r="F47">
        <v>9644.7998050000006</v>
      </c>
      <c r="G47">
        <v>119153100</v>
      </c>
    </row>
    <row r="48" spans="1:7" x14ac:dyDescent="0.2">
      <c r="A48" s="1">
        <v>45111</v>
      </c>
      <c r="B48">
        <v>9635</v>
      </c>
      <c r="C48">
        <v>9649.7998050000006</v>
      </c>
      <c r="D48">
        <v>9580.9003909999992</v>
      </c>
      <c r="E48">
        <v>9588.4003909999992</v>
      </c>
      <c r="F48">
        <v>9588.4003909999992</v>
      </c>
      <c r="G48">
        <v>97859400</v>
      </c>
    </row>
    <row r="49" spans="1:7" x14ac:dyDescent="0.2">
      <c r="A49" s="1">
        <v>45112</v>
      </c>
      <c r="B49">
        <v>9541.7001949999994</v>
      </c>
      <c r="C49">
        <v>9567.9003909999992</v>
      </c>
      <c r="D49">
        <v>9470.7001949999994</v>
      </c>
      <c r="E49">
        <v>9486.2998050000006</v>
      </c>
      <c r="F49">
        <v>9486.2998050000006</v>
      </c>
      <c r="G49">
        <v>116017000</v>
      </c>
    </row>
    <row r="50" spans="1:7" x14ac:dyDescent="0.2">
      <c r="A50" s="1">
        <v>45113</v>
      </c>
      <c r="B50">
        <v>9384.5996090000008</v>
      </c>
      <c r="C50">
        <v>9435.9003909999992</v>
      </c>
      <c r="D50">
        <v>9261.2001949999994</v>
      </c>
      <c r="E50">
        <v>9285</v>
      </c>
      <c r="F50">
        <v>9285</v>
      </c>
      <c r="G50">
        <v>142178200</v>
      </c>
    </row>
    <row r="51" spans="1:7" x14ac:dyDescent="0.2">
      <c r="A51" s="1">
        <v>45114</v>
      </c>
      <c r="B51">
        <v>9246.9003909999992</v>
      </c>
      <c r="C51">
        <v>9258.5996090000008</v>
      </c>
      <c r="D51">
        <v>9169.7998050000006</v>
      </c>
      <c r="E51">
        <v>9248.7998050000006</v>
      </c>
      <c r="F51">
        <v>9248.7998050000006</v>
      </c>
      <c r="G51">
        <v>114921000</v>
      </c>
    </row>
    <row r="52" spans="1:7" x14ac:dyDescent="0.2">
      <c r="A52" s="1">
        <v>45117</v>
      </c>
      <c r="B52">
        <v>9210.5</v>
      </c>
      <c r="C52">
        <v>9282.5</v>
      </c>
      <c r="D52">
        <v>9183</v>
      </c>
      <c r="E52">
        <v>9252.9003909999992</v>
      </c>
      <c r="F52">
        <v>9252.9003909999992</v>
      </c>
      <c r="G52">
        <v>91453400</v>
      </c>
    </row>
    <row r="53" spans="1:7" x14ac:dyDescent="0.2">
      <c r="A53" s="1">
        <v>45118</v>
      </c>
      <c r="B53">
        <v>9295.7998050000006</v>
      </c>
      <c r="C53">
        <v>9333.7001949999994</v>
      </c>
      <c r="D53">
        <v>9226.7001949999994</v>
      </c>
      <c r="E53">
        <v>9331.0996090000008</v>
      </c>
      <c r="F53">
        <v>9331.0996090000008</v>
      </c>
      <c r="G53">
        <v>100280000</v>
      </c>
    </row>
    <row r="54" spans="1:7" x14ac:dyDescent="0.2">
      <c r="A54" s="1">
        <v>45119</v>
      </c>
      <c r="B54">
        <v>9356.5</v>
      </c>
      <c r="C54">
        <v>9464.7998050000006</v>
      </c>
      <c r="D54">
        <v>9344.5996090000008</v>
      </c>
      <c r="E54">
        <v>9453.7001949999994</v>
      </c>
      <c r="F54">
        <v>9453.7001949999994</v>
      </c>
      <c r="G54">
        <v>155443100</v>
      </c>
    </row>
    <row r="55" spans="1:7" x14ac:dyDescent="0.2">
      <c r="A55" s="1">
        <v>45120</v>
      </c>
      <c r="B55">
        <v>9459.0996090000008</v>
      </c>
      <c r="C55">
        <v>9523.5996090000008</v>
      </c>
      <c r="D55">
        <v>9444.7998050000006</v>
      </c>
      <c r="E55">
        <v>9478.7001949999994</v>
      </c>
      <c r="F55">
        <v>9478.7001949999994</v>
      </c>
      <c r="G55">
        <v>118162000</v>
      </c>
    </row>
    <row r="56" spans="1:7" x14ac:dyDescent="0.2">
      <c r="A56" s="1">
        <v>45121</v>
      </c>
      <c r="B56">
        <v>9468.9003909999992</v>
      </c>
      <c r="C56">
        <v>9507.2001949999994</v>
      </c>
      <c r="D56">
        <v>9437.7998050000006</v>
      </c>
      <c r="E56">
        <v>9438.2998050000006</v>
      </c>
      <c r="F56">
        <v>9438.2998050000006</v>
      </c>
      <c r="G56">
        <v>105127200</v>
      </c>
    </row>
    <row r="57" spans="1:7" x14ac:dyDescent="0.2">
      <c r="A57" s="1">
        <v>45124</v>
      </c>
      <c r="B57">
        <v>9414.9003909999992</v>
      </c>
      <c r="C57">
        <v>9483.2998050000006</v>
      </c>
      <c r="D57">
        <v>9402.5996090000008</v>
      </c>
      <c r="E57">
        <v>9438</v>
      </c>
      <c r="F57">
        <v>9438</v>
      </c>
      <c r="G57">
        <v>77438400</v>
      </c>
    </row>
    <row r="58" spans="1:7" x14ac:dyDescent="0.2">
      <c r="A58" s="1">
        <v>45125</v>
      </c>
      <c r="B58">
        <v>9446.5</v>
      </c>
      <c r="C58">
        <v>9471.7998050000006</v>
      </c>
      <c r="D58">
        <v>9388.9003909999992</v>
      </c>
      <c r="E58">
        <v>9455.7001949999994</v>
      </c>
      <c r="F58">
        <v>9455.7001949999994</v>
      </c>
      <c r="G58">
        <v>88491000</v>
      </c>
    </row>
    <row r="59" spans="1:7" x14ac:dyDescent="0.2">
      <c r="A59" s="1">
        <v>45126</v>
      </c>
      <c r="B59">
        <v>9482.7998050000006</v>
      </c>
      <c r="C59">
        <v>9532.4003909999992</v>
      </c>
      <c r="D59">
        <v>9433.0996090000008</v>
      </c>
      <c r="E59">
        <v>9451.7998050000006</v>
      </c>
      <c r="F59">
        <v>9451.7998050000006</v>
      </c>
      <c r="G59">
        <v>92225100</v>
      </c>
    </row>
    <row r="60" spans="1:7" x14ac:dyDescent="0.2">
      <c r="A60" s="1">
        <v>45127</v>
      </c>
      <c r="B60">
        <v>9445.0996090000008</v>
      </c>
      <c r="C60">
        <v>9539.5</v>
      </c>
      <c r="D60">
        <v>9444</v>
      </c>
      <c r="E60">
        <v>9519.5996090000008</v>
      </c>
      <c r="F60">
        <v>9519.5996090000008</v>
      </c>
      <c r="G60">
        <v>108475200</v>
      </c>
    </row>
    <row r="61" spans="1:7" x14ac:dyDescent="0.2">
      <c r="A61" s="1">
        <v>45128</v>
      </c>
      <c r="B61">
        <v>9521</v>
      </c>
      <c r="C61">
        <v>9571.5</v>
      </c>
      <c r="D61">
        <v>9481.2001949999994</v>
      </c>
      <c r="E61">
        <v>9571.5</v>
      </c>
      <c r="F61">
        <v>9571.5</v>
      </c>
      <c r="G61">
        <v>114901000</v>
      </c>
    </row>
    <row r="62" spans="1:7" x14ac:dyDescent="0.2">
      <c r="A62" s="1">
        <v>45131</v>
      </c>
      <c r="B62">
        <v>9417</v>
      </c>
      <c r="C62">
        <v>9543.5</v>
      </c>
      <c r="D62">
        <v>9401</v>
      </c>
      <c r="E62">
        <v>9543.5</v>
      </c>
      <c r="F62">
        <v>9543.5</v>
      </c>
      <c r="G62">
        <v>121342800</v>
      </c>
    </row>
    <row r="63" spans="1:7" x14ac:dyDescent="0.2">
      <c r="A63" s="1">
        <v>45132</v>
      </c>
      <c r="B63">
        <v>9534</v>
      </c>
      <c r="C63">
        <v>9542.7998050000006</v>
      </c>
      <c r="D63">
        <v>9497.7998050000006</v>
      </c>
      <c r="E63">
        <v>9519.2001949999994</v>
      </c>
      <c r="F63">
        <v>9519.2001949999994</v>
      </c>
      <c r="G63">
        <v>86427600</v>
      </c>
    </row>
    <row r="64" spans="1:7" x14ac:dyDescent="0.2">
      <c r="A64" s="1">
        <v>45133</v>
      </c>
      <c r="B64">
        <v>9515.9003909999992</v>
      </c>
      <c r="C64">
        <v>9604.0996090000008</v>
      </c>
      <c r="D64">
        <v>9489.5996090000008</v>
      </c>
      <c r="E64">
        <v>9600.5</v>
      </c>
      <c r="F64">
        <v>9600.5</v>
      </c>
      <c r="G64">
        <v>164640400</v>
      </c>
    </row>
    <row r="65" spans="1:7" x14ac:dyDescent="0.2">
      <c r="A65" s="1">
        <v>45134</v>
      </c>
      <c r="B65">
        <v>9646.2998050000006</v>
      </c>
      <c r="C65">
        <v>9715.0996090000008</v>
      </c>
      <c r="D65">
        <v>9611.7998050000006</v>
      </c>
      <c r="E65">
        <v>9694.7001949999994</v>
      </c>
      <c r="F65">
        <v>9694.7001949999994</v>
      </c>
      <c r="G65">
        <v>203878100</v>
      </c>
    </row>
    <row r="66" spans="1:7" x14ac:dyDescent="0.2">
      <c r="A66" s="1">
        <v>45135</v>
      </c>
      <c r="B66">
        <v>9682.2001949999994</v>
      </c>
      <c r="C66">
        <v>9741.9003909999992</v>
      </c>
      <c r="D66">
        <v>9674.0996090000008</v>
      </c>
      <c r="E66">
        <v>9685.0996090000008</v>
      </c>
      <c r="F66">
        <v>9685.0996090000008</v>
      </c>
      <c r="G66">
        <v>222144300</v>
      </c>
    </row>
    <row r="67" spans="1:7" x14ac:dyDescent="0.2">
      <c r="A67" s="1">
        <v>45138</v>
      </c>
      <c r="B67">
        <v>9675.9003909999992</v>
      </c>
      <c r="C67">
        <v>9688.2998050000006</v>
      </c>
      <c r="D67">
        <v>9641.5</v>
      </c>
      <c r="E67">
        <v>9641.5</v>
      </c>
      <c r="F67">
        <v>9641.5</v>
      </c>
      <c r="G67">
        <v>160130500</v>
      </c>
    </row>
    <row r="68" spans="1:7" x14ac:dyDescent="0.2">
      <c r="A68" s="1">
        <v>45139</v>
      </c>
      <c r="B68">
        <v>9639.9003909999992</v>
      </c>
      <c r="C68">
        <v>9657.2001949999994</v>
      </c>
      <c r="D68">
        <v>9491.7001949999994</v>
      </c>
      <c r="E68">
        <v>9502.9003909999992</v>
      </c>
      <c r="F68">
        <v>9502.9003909999992</v>
      </c>
      <c r="G68">
        <v>136369400</v>
      </c>
    </row>
    <row r="69" spans="1:7" x14ac:dyDescent="0.2">
      <c r="A69" s="1">
        <v>45140</v>
      </c>
      <c r="B69">
        <v>9409.5</v>
      </c>
      <c r="C69">
        <v>9424.4003909999992</v>
      </c>
      <c r="D69">
        <v>9311</v>
      </c>
      <c r="E69">
        <v>9328.7001949999994</v>
      </c>
      <c r="F69">
        <v>9328.7001949999994</v>
      </c>
      <c r="G69">
        <v>223086300</v>
      </c>
    </row>
    <row r="70" spans="1:7" x14ac:dyDescent="0.2">
      <c r="A70" s="1">
        <v>45141</v>
      </c>
      <c r="B70">
        <v>9291</v>
      </c>
      <c r="C70">
        <v>9341.9003909999992</v>
      </c>
      <c r="D70">
        <v>9244.2998050000006</v>
      </c>
      <c r="E70">
        <v>9307.0996090000008</v>
      </c>
      <c r="F70">
        <v>9307.0996090000008</v>
      </c>
      <c r="G70">
        <v>139652300</v>
      </c>
    </row>
    <row r="71" spans="1:7" x14ac:dyDescent="0.2">
      <c r="A71" s="1">
        <v>45142</v>
      </c>
      <c r="B71">
        <v>9333.9003909999992</v>
      </c>
      <c r="C71">
        <v>9377.5996090000008</v>
      </c>
      <c r="D71">
        <v>9278.9003909999992</v>
      </c>
      <c r="E71">
        <v>9368.4003909999992</v>
      </c>
      <c r="F71">
        <v>9368.4003909999992</v>
      </c>
      <c r="G71">
        <v>111010600</v>
      </c>
    </row>
    <row r="72" spans="1:7" x14ac:dyDescent="0.2">
      <c r="A72" s="1">
        <v>45145</v>
      </c>
      <c r="B72">
        <v>9346.0996090000008</v>
      </c>
      <c r="C72">
        <v>9369.4003909999992</v>
      </c>
      <c r="D72">
        <v>9273.5</v>
      </c>
      <c r="E72">
        <v>9358.5996090000008</v>
      </c>
      <c r="F72">
        <v>9358.5996090000008</v>
      </c>
      <c r="G72">
        <v>80687700</v>
      </c>
    </row>
    <row r="73" spans="1:7" x14ac:dyDescent="0.2">
      <c r="A73" s="1">
        <v>45146</v>
      </c>
      <c r="B73">
        <v>9292.0996090000008</v>
      </c>
      <c r="C73">
        <v>9361.2998050000006</v>
      </c>
      <c r="D73">
        <v>9213.5996090000008</v>
      </c>
      <c r="E73">
        <v>9301.7998050000006</v>
      </c>
      <c r="F73">
        <v>9301.7998050000006</v>
      </c>
      <c r="G73">
        <v>136457400</v>
      </c>
    </row>
    <row r="74" spans="1:7" x14ac:dyDescent="0.2">
      <c r="A74" s="1">
        <v>45147</v>
      </c>
      <c r="B74">
        <v>9403.5</v>
      </c>
      <c r="C74">
        <v>9420.7998050000006</v>
      </c>
      <c r="D74">
        <v>9334.2998050000006</v>
      </c>
      <c r="E74">
        <v>9354.4003909999992</v>
      </c>
      <c r="F74">
        <v>9354.4003909999992</v>
      </c>
      <c r="G74">
        <v>88364200</v>
      </c>
    </row>
    <row r="75" spans="1:7" x14ac:dyDescent="0.2">
      <c r="A75" s="1">
        <v>45148</v>
      </c>
      <c r="B75">
        <v>9404.7998050000006</v>
      </c>
      <c r="C75">
        <v>9522.9003909999992</v>
      </c>
      <c r="D75">
        <v>9396.7001949999994</v>
      </c>
      <c r="E75">
        <v>9502.2001949999994</v>
      </c>
      <c r="F75">
        <v>9502.2001949999994</v>
      </c>
      <c r="G75">
        <v>109204400</v>
      </c>
    </row>
    <row r="76" spans="1:7" x14ac:dyDescent="0.2">
      <c r="A76" s="1">
        <v>45149</v>
      </c>
      <c r="B76">
        <v>9476.7001949999994</v>
      </c>
      <c r="C76">
        <v>9493.9003909999992</v>
      </c>
      <c r="D76">
        <v>9415.4003909999992</v>
      </c>
      <c r="E76">
        <v>9434.2998050000006</v>
      </c>
      <c r="F76">
        <v>9434.2998050000006</v>
      </c>
      <c r="G76">
        <v>80015200</v>
      </c>
    </row>
    <row r="77" spans="1:7" x14ac:dyDescent="0.2">
      <c r="A77" s="1">
        <v>45152</v>
      </c>
      <c r="B77">
        <v>9423.7001949999994</v>
      </c>
      <c r="C77">
        <v>9471.7001949999994</v>
      </c>
      <c r="D77">
        <v>9399.5996090000008</v>
      </c>
      <c r="E77">
        <v>9429.5996090000008</v>
      </c>
      <c r="F77">
        <v>9429.5996090000008</v>
      </c>
      <c r="G77">
        <v>71422800</v>
      </c>
    </row>
    <row r="78" spans="1:7" x14ac:dyDescent="0.2">
      <c r="A78" s="1">
        <v>45153</v>
      </c>
      <c r="B78">
        <v>9427.5</v>
      </c>
      <c r="C78">
        <v>9435.0996090000008</v>
      </c>
      <c r="D78">
        <v>9305.9003909999992</v>
      </c>
      <c r="E78">
        <v>9347.5</v>
      </c>
      <c r="F78">
        <v>9347.5</v>
      </c>
      <c r="G78">
        <v>63980500</v>
      </c>
    </row>
    <row r="79" spans="1:7" x14ac:dyDescent="0.2">
      <c r="A79" s="1">
        <v>45154</v>
      </c>
      <c r="B79">
        <v>9318.0996090000008</v>
      </c>
      <c r="C79">
        <v>9404</v>
      </c>
      <c r="D79">
        <v>9313.2001949999994</v>
      </c>
      <c r="E79">
        <v>9350.5</v>
      </c>
      <c r="F79">
        <v>9350.5</v>
      </c>
      <c r="G79">
        <v>60764100</v>
      </c>
    </row>
    <row r="80" spans="1:7" x14ac:dyDescent="0.2">
      <c r="A80" s="1">
        <v>45155</v>
      </c>
      <c r="B80">
        <v>9312.7998050000006</v>
      </c>
      <c r="C80">
        <v>9356.4003909999992</v>
      </c>
      <c r="D80">
        <v>9270.2998050000006</v>
      </c>
      <c r="E80">
        <v>9278</v>
      </c>
      <c r="F80">
        <v>9278</v>
      </c>
      <c r="G80">
        <v>83008600</v>
      </c>
    </row>
    <row r="81" spans="1:7" x14ac:dyDescent="0.2">
      <c r="A81" s="1">
        <v>45156</v>
      </c>
      <c r="B81">
        <v>9250</v>
      </c>
      <c r="C81">
        <v>9273.7998050000006</v>
      </c>
      <c r="D81">
        <v>9192.7001949999994</v>
      </c>
      <c r="E81">
        <v>9267.7001949999994</v>
      </c>
      <c r="F81">
        <v>9267.7001949999994</v>
      </c>
      <c r="G81">
        <v>93675700</v>
      </c>
    </row>
    <row r="82" spans="1:7" x14ac:dyDescent="0.2">
      <c r="A82" s="1">
        <v>45159</v>
      </c>
      <c r="B82">
        <v>9268.5996090000008</v>
      </c>
      <c r="C82">
        <v>9367.5996090000008</v>
      </c>
      <c r="D82">
        <v>9239.4003909999992</v>
      </c>
      <c r="E82">
        <v>9262.7998050000006</v>
      </c>
      <c r="F82">
        <v>9262.7998050000006</v>
      </c>
      <c r="G82">
        <v>72507400</v>
      </c>
    </row>
    <row r="83" spans="1:7" x14ac:dyDescent="0.2">
      <c r="A83" s="1">
        <v>45160</v>
      </c>
      <c r="B83">
        <v>9310.7001949999994</v>
      </c>
      <c r="C83">
        <v>9370.7001949999994</v>
      </c>
      <c r="D83">
        <v>9302.9003909999992</v>
      </c>
      <c r="E83">
        <v>9314</v>
      </c>
      <c r="F83">
        <v>9314</v>
      </c>
      <c r="G83">
        <v>66059900</v>
      </c>
    </row>
    <row r="84" spans="1:7" x14ac:dyDescent="0.2">
      <c r="A84" s="1">
        <v>45161</v>
      </c>
      <c r="B84">
        <v>9333.7998050000006</v>
      </c>
      <c r="C84">
        <v>9395.4003909999992</v>
      </c>
      <c r="D84">
        <v>9292.0996090000008</v>
      </c>
      <c r="E84">
        <v>9315.5996090000008</v>
      </c>
      <c r="F84">
        <v>9315.5996090000008</v>
      </c>
      <c r="G84">
        <v>74919900</v>
      </c>
    </row>
    <row r="85" spans="1:7" x14ac:dyDescent="0.2">
      <c r="A85" s="1">
        <v>45162</v>
      </c>
      <c r="B85">
        <v>9385.9003909999992</v>
      </c>
      <c r="C85">
        <v>9415.5</v>
      </c>
      <c r="D85">
        <v>9321.5</v>
      </c>
      <c r="E85">
        <v>9324.7001949999994</v>
      </c>
      <c r="F85">
        <v>9324.7001949999994</v>
      </c>
      <c r="G85">
        <v>67799700</v>
      </c>
    </row>
    <row r="86" spans="1:7" x14ac:dyDescent="0.2">
      <c r="A86" s="1">
        <v>45163</v>
      </c>
      <c r="B86">
        <v>9308.7001949999994</v>
      </c>
      <c r="C86">
        <v>9414.2001949999994</v>
      </c>
      <c r="D86">
        <v>9304.4003909999992</v>
      </c>
      <c r="E86">
        <v>9338.9003909999992</v>
      </c>
      <c r="F86">
        <v>9338.9003909999992</v>
      </c>
      <c r="G86">
        <v>75145000</v>
      </c>
    </row>
    <row r="87" spans="1:7" x14ac:dyDescent="0.2">
      <c r="A87" s="1">
        <v>45166</v>
      </c>
      <c r="B87">
        <v>9398.2001949999994</v>
      </c>
      <c r="C87">
        <v>9524.9003909999992</v>
      </c>
      <c r="D87">
        <v>9397.7001949999994</v>
      </c>
      <c r="E87">
        <v>9490.0996090000008</v>
      </c>
      <c r="F87">
        <v>9490.0996090000008</v>
      </c>
      <c r="G87">
        <v>73880200</v>
      </c>
    </row>
    <row r="88" spans="1:7" x14ac:dyDescent="0.2">
      <c r="A88" s="1">
        <v>45167</v>
      </c>
      <c r="B88">
        <v>9513.7998050000006</v>
      </c>
      <c r="C88">
        <v>9592.7001949999994</v>
      </c>
      <c r="D88">
        <v>9491.0996090000008</v>
      </c>
      <c r="E88">
        <v>9581.2001949999994</v>
      </c>
      <c r="F88">
        <v>9581.2001949999994</v>
      </c>
      <c r="G88">
        <v>106623300</v>
      </c>
    </row>
    <row r="89" spans="1:7" x14ac:dyDescent="0.2">
      <c r="A89" s="1">
        <v>45168</v>
      </c>
      <c r="B89">
        <v>9595.0996090000008</v>
      </c>
      <c r="C89">
        <v>9614.7001949999994</v>
      </c>
      <c r="D89">
        <v>9531.9003909999992</v>
      </c>
      <c r="E89">
        <v>9551.0996090000008</v>
      </c>
      <c r="F89">
        <v>9551.0996090000008</v>
      </c>
      <c r="G89">
        <v>99874200</v>
      </c>
    </row>
    <row r="90" spans="1:7" x14ac:dyDescent="0.2">
      <c r="A90" s="1">
        <v>45169</v>
      </c>
      <c r="B90">
        <v>9556.9003909999992</v>
      </c>
      <c r="C90">
        <v>9606.2001949999994</v>
      </c>
      <c r="D90">
        <v>9505.9003909999992</v>
      </c>
      <c r="E90">
        <v>9505.9003909999992</v>
      </c>
      <c r="F90">
        <v>9505.9003909999992</v>
      </c>
      <c r="G90">
        <v>212295400</v>
      </c>
    </row>
    <row r="91" spans="1:7" x14ac:dyDescent="0.2">
      <c r="A91" s="1">
        <v>45170</v>
      </c>
      <c r="B91">
        <v>9512.7998050000006</v>
      </c>
      <c r="C91">
        <v>9552.9003909999992</v>
      </c>
      <c r="D91">
        <v>9449.5996090000008</v>
      </c>
      <c r="E91">
        <v>9449.5996090000008</v>
      </c>
      <c r="F91">
        <v>9449.5996090000008</v>
      </c>
      <c r="G91">
        <v>108269100</v>
      </c>
    </row>
    <row r="92" spans="1:7" x14ac:dyDescent="0.2">
      <c r="A92" s="1">
        <v>45173</v>
      </c>
      <c r="B92">
        <v>9486.7001949999994</v>
      </c>
      <c r="C92">
        <v>9515</v>
      </c>
      <c r="D92">
        <v>9396.2001949999994</v>
      </c>
      <c r="E92">
        <v>9416.2998050000006</v>
      </c>
      <c r="F92">
        <v>9416.2998050000006</v>
      </c>
      <c r="G92">
        <v>69158100</v>
      </c>
    </row>
    <row r="93" spans="1:7" x14ac:dyDescent="0.2">
      <c r="A93" s="1">
        <v>45174</v>
      </c>
      <c r="B93">
        <v>9396.2001949999994</v>
      </c>
      <c r="C93">
        <v>9449.5996090000008</v>
      </c>
      <c r="D93">
        <v>9353.2001949999994</v>
      </c>
      <c r="E93">
        <v>9392</v>
      </c>
      <c r="F93">
        <v>9392</v>
      </c>
      <c r="G93">
        <v>87067800</v>
      </c>
    </row>
    <row r="94" spans="1:7" x14ac:dyDescent="0.2">
      <c r="A94" s="1">
        <v>45175</v>
      </c>
      <c r="B94">
        <v>9382</v>
      </c>
      <c r="C94">
        <v>9382</v>
      </c>
      <c r="D94">
        <v>9289.2998050000006</v>
      </c>
      <c r="E94">
        <v>9314.4003909999992</v>
      </c>
      <c r="F94">
        <v>9314.4003909999992</v>
      </c>
      <c r="G94">
        <v>139455100</v>
      </c>
    </row>
    <row r="95" spans="1:7" x14ac:dyDescent="0.2">
      <c r="A95" s="1">
        <v>45176</v>
      </c>
      <c r="B95">
        <v>9288.0996090000008</v>
      </c>
      <c r="C95">
        <v>9379.9003909999992</v>
      </c>
      <c r="D95">
        <v>9277.7998050000006</v>
      </c>
      <c r="E95">
        <v>9310</v>
      </c>
      <c r="F95">
        <v>9310</v>
      </c>
      <c r="G95">
        <v>112157000</v>
      </c>
    </row>
    <row r="96" spans="1:7" x14ac:dyDescent="0.2">
      <c r="A96" s="1">
        <v>45177</v>
      </c>
      <c r="B96">
        <v>9357.2001949999994</v>
      </c>
      <c r="C96">
        <v>9372.2998050000006</v>
      </c>
      <c r="D96">
        <v>9238.5</v>
      </c>
      <c r="E96">
        <v>9364.5996090000008</v>
      </c>
      <c r="F96">
        <v>9364.5996090000008</v>
      </c>
      <c r="G96">
        <v>92062600</v>
      </c>
    </row>
    <row r="97" spans="1:7" x14ac:dyDescent="0.2">
      <c r="A97" s="1">
        <v>45180</v>
      </c>
      <c r="B97">
        <v>9403.5</v>
      </c>
      <c r="C97">
        <v>9457.9003909999992</v>
      </c>
      <c r="D97">
        <v>9367.2998050000006</v>
      </c>
      <c r="E97">
        <v>9435.2001949999994</v>
      </c>
      <c r="F97">
        <v>9435.2001949999994</v>
      </c>
      <c r="G97">
        <v>85725100</v>
      </c>
    </row>
    <row r="98" spans="1:7" x14ac:dyDescent="0.2">
      <c r="A98" s="1">
        <v>45181</v>
      </c>
      <c r="B98">
        <v>9454.5</v>
      </c>
      <c r="C98">
        <v>9501.7001949999994</v>
      </c>
      <c r="D98">
        <v>9448</v>
      </c>
      <c r="E98">
        <v>9455.4003909999992</v>
      </c>
      <c r="F98">
        <v>9455.4003909999992</v>
      </c>
      <c r="G98">
        <v>107657600</v>
      </c>
    </row>
    <row r="99" spans="1:7" x14ac:dyDescent="0.2">
      <c r="A99" s="1">
        <v>45182</v>
      </c>
      <c r="B99">
        <v>9435.0996090000008</v>
      </c>
      <c r="C99">
        <v>9448.2998050000006</v>
      </c>
      <c r="D99">
        <v>9330.5996090000008</v>
      </c>
      <c r="E99">
        <v>9424.0996090000008</v>
      </c>
      <c r="F99">
        <v>9424.0996090000008</v>
      </c>
      <c r="G99">
        <v>105247500</v>
      </c>
    </row>
    <row r="100" spans="1:7" x14ac:dyDescent="0.2">
      <c r="A100" s="1">
        <v>45183</v>
      </c>
      <c r="B100">
        <v>9422.2998050000006</v>
      </c>
      <c r="C100">
        <v>9563.0996090000008</v>
      </c>
      <c r="D100">
        <v>9380</v>
      </c>
      <c r="E100">
        <v>9549</v>
      </c>
      <c r="F100">
        <v>9549</v>
      </c>
      <c r="G100">
        <v>133995400</v>
      </c>
    </row>
    <row r="101" spans="1:7" x14ac:dyDescent="0.2">
      <c r="A101" s="1">
        <v>45184</v>
      </c>
      <c r="B101">
        <v>9605.2998050000006</v>
      </c>
      <c r="C101">
        <v>9642</v>
      </c>
      <c r="D101">
        <v>9524.7001949999994</v>
      </c>
      <c r="E101">
        <v>9549.7001949999994</v>
      </c>
      <c r="F101">
        <v>9549.7001949999994</v>
      </c>
      <c r="G101">
        <v>348282000</v>
      </c>
    </row>
    <row r="102" spans="1:7" x14ac:dyDescent="0.2">
      <c r="A102" s="1">
        <v>45187</v>
      </c>
      <c r="B102">
        <v>9530.7998050000006</v>
      </c>
      <c r="C102">
        <v>9553.9003909999992</v>
      </c>
      <c r="D102">
        <v>9455.2998050000006</v>
      </c>
      <c r="E102">
        <v>9482.0996090000008</v>
      </c>
      <c r="F102">
        <v>9482.0996090000008</v>
      </c>
      <c r="G102">
        <v>109941400</v>
      </c>
    </row>
    <row r="103" spans="1:7" x14ac:dyDescent="0.2">
      <c r="A103" s="1">
        <v>45188</v>
      </c>
      <c r="B103">
        <v>9459.7001949999994</v>
      </c>
      <c r="C103">
        <v>9550.0996090000008</v>
      </c>
      <c r="D103">
        <v>9458.5</v>
      </c>
      <c r="E103">
        <v>9527.2001949999994</v>
      </c>
      <c r="F103">
        <v>9527.2001949999994</v>
      </c>
      <c r="G103">
        <v>88182400</v>
      </c>
    </row>
    <row r="104" spans="1:7" x14ac:dyDescent="0.2">
      <c r="A104" s="1">
        <v>45189</v>
      </c>
      <c r="B104">
        <v>9550</v>
      </c>
      <c r="C104">
        <v>9672.2001949999994</v>
      </c>
      <c r="D104">
        <v>9539.0996090000008</v>
      </c>
      <c r="E104">
        <v>9645.7998050000006</v>
      </c>
      <c r="F104">
        <v>9645.7998050000006</v>
      </c>
      <c r="G104">
        <v>125806100</v>
      </c>
    </row>
    <row r="105" spans="1:7" x14ac:dyDescent="0.2">
      <c r="A105" s="1">
        <v>45190</v>
      </c>
      <c r="B105">
        <v>9582.0996090000008</v>
      </c>
      <c r="C105">
        <v>9606.7998050000006</v>
      </c>
      <c r="D105">
        <v>9475.2001949999994</v>
      </c>
      <c r="E105">
        <v>9548.9003909999992</v>
      </c>
      <c r="F105">
        <v>9548.9003909999992</v>
      </c>
      <c r="G105">
        <v>120718600</v>
      </c>
    </row>
    <row r="106" spans="1:7" x14ac:dyDescent="0.2">
      <c r="A106" s="1">
        <v>45191</v>
      </c>
      <c r="B106">
        <v>9499</v>
      </c>
      <c r="C106">
        <v>9542.5996090000008</v>
      </c>
      <c r="D106">
        <v>9477</v>
      </c>
      <c r="E106">
        <v>9502</v>
      </c>
      <c r="F106">
        <v>9502</v>
      </c>
      <c r="G106">
        <v>100119800</v>
      </c>
    </row>
    <row r="107" spans="1:7" x14ac:dyDescent="0.2">
      <c r="A107" s="1">
        <v>45194</v>
      </c>
      <c r="B107">
        <v>9468.5</v>
      </c>
      <c r="C107">
        <v>9523.9003909999992</v>
      </c>
      <c r="D107">
        <v>9337.7001949999994</v>
      </c>
      <c r="E107">
        <v>9386</v>
      </c>
      <c r="F107">
        <v>9386</v>
      </c>
      <c r="G107">
        <v>107471700</v>
      </c>
    </row>
    <row r="108" spans="1:7" x14ac:dyDescent="0.2">
      <c r="A108" s="1">
        <v>45195</v>
      </c>
      <c r="B108">
        <v>9327.5</v>
      </c>
      <c r="C108">
        <v>9405.4003909999992</v>
      </c>
      <c r="D108">
        <v>9307.0996090000008</v>
      </c>
      <c r="E108">
        <v>9366.9003909999992</v>
      </c>
      <c r="F108">
        <v>9366.9003909999992</v>
      </c>
      <c r="G108">
        <v>121930200</v>
      </c>
    </row>
    <row r="109" spans="1:7" x14ac:dyDescent="0.2">
      <c r="A109" s="1">
        <v>45196</v>
      </c>
      <c r="B109">
        <v>9366</v>
      </c>
      <c r="C109">
        <v>9420.9003909999992</v>
      </c>
      <c r="D109">
        <v>9311.7998050000006</v>
      </c>
      <c r="E109">
        <v>9331.9003909999992</v>
      </c>
      <c r="F109">
        <v>9331.9003909999992</v>
      </c>
      <c r="G109">
        <v>106336400</v>
      </c>
    </row>
    <row r="110" spans="1:7" x14ac:dyDescent="0.2">
      <c r="A110" s="1">
        <v>45197</v>
      </c>
      <c r="B110">
        <v>9344.0996090000008</v>
      </c>
      <c r="C110">
        <v>9442.2998050000006</v>
      </c>
      <c r="D110">
        <v>9311.5</v>
      </c>
      <c r="E110">
        <v>9426.7998050000006</v>
      </c>
      <c r="F110">
        <v>9426.7998050000006</v>
      </c>
      <c r="G110">
        <v>171533200</v>
      </c>
    </row>
    <row r="111" spans="1:7" x14ac:dyDescent="0.2">
      <c r="A111" s="1">
        <v>45198</v>
      </c>
      <c r="B111">
        <v>9458.5</v>
      </c>
      <c r="C111">
        <v>9508.2998050000006</v>
      </c>
      <c r="D111">
        <v>9423</v>
      </c>
      <c r="E111">
        <v>9428</v>
      </c>
      <c r="F111">
        <v>9428</v>
      </c>
      <c r="G111">
        <v>139259800</v>
      </c>
    </row>
    <row r="112" spans="1:7" x14ac:dyDescent="0.2">
      <c r="A112" s="1">
        <v>45201</v>
      </c>
      <c r="B112">
        <v>9447.7001949999994</v>
      </c>
      <c r="C112">
        <v>9495.0996090000008</v>
      </c>
      <c r="D112">
        <v>9299.4003909999992</v>
      </c>
      <c r="E112">
        <v>9319</v>
      </c>
      <c r="F112">
        <v>9319</v>
      </c>
      <c r="G112">
        <v>157515300</v>
      </c>
    </row>
    <row r="113" spans="1:7" x14ac:dyDescent="0.2">
      <c r="A113" s="1">
        <v>45202</v>
      </c>
      <c r="B113">
        <v>9284.5996090000008</v>
      </c>
      <c r="C113">
        <v>9369.5996090000008</v>
      </c>
      <c r="D113">
        <v>9164</v>
      </c>
      <c r="E113">
        <v>9165.5</v>
      </c>
      <c r="F113">
        <v>9165.5</v>
      </c>
      <c r="G113">
        <v>142881400</v>
      </c>
    </row>
    <row r="114" spans="1:7" x14ac:dyDescent="0.2">
      <c r="A114" s="1">
        <v>45203</v>
      </c>
      <c r="B114">
        <v>9137.9003909999992</v>
      </c>
      <c r="C114">
        <v>9186.4003909999992</v>
      </c>
      <c r="D114">
        <v>9077.5996090000008</v>
      </c>
      <c r="E114">
        <v>9102.9003909999992</v>
      </c>
      <c r="F114">
        <v>9102.9003909999992</v>
      </c>
      <c r="G114">
        <v>139573600</v>
      </c>
    </row>
    <row r="115" spans="1:7" x14ac:dyDescent="0.2">
      <c r="A115" s="1">
        <v>45204</v>
      </c>
      <c r="B115">
        <v>9160.2001949999994</v>
      </c>
      <c r="C115">
        <v>9193.2998050000006</v>
      </c>
      <c r="D115">
        <v>9096</v>
      </c>
      <c r="E115">
        <v>9157.7001949999994</v>
      </c>
      <c r="F115">
        <v>9157.7001949999994</v>
      </c>
      <c r="G115">
        <v>114922100</v>
      </c>
    </row>
    <row r="116" spans="1:7" x14ac:dyDescent="0.2">
      <c r="A116" s="1">
        <v>45205</v>
      </c>
      <c r="B116">
        <v>9179.9003909999992</v>
      </c>
      <c r="C116">
        <v>9235.7998050000006</v>
      </c>
      <c r="D116">
        <v>9110.4003909999992</v>
      </c>
      <c r="E116">
        <v>9235.7998050000006</v>
      </c>
      <c r="F116">
        <v>9235.7998050000006</v>
      </c>
      <c r="G116">
        <v>122390000</v>
      </c>
    </row>
    <row r="117" spans="1:7" x14ac:dyDescent="0.2">
      <c r="A117" s="1">
        <v>45208</v>
      </c>
      <c r="B117">
        <v>9182.9003909999992</v>
      </c>
      <c r="C117">
        <v>9223</v>
      </c>
      <c r="D117">
        <v>9111.7998050000006</v>
      </c>
      <c r="E117">
        <v>9151.2998050000006</v>
      </c>
      <c r="F117">
        <v>9151.2998050000006</v>
      </c>
      <c r="G117">
        <v>135294000</v>
      </c>
    </row>
    <row r="118" spans="1:7" x14ac:dyDescent="0.2">
      <c r="A118" s="1">
        <v>45209</v>
      </c>
      <c r="B118">
        <v>9217.9003909999992</v>
      </c>
      <c r="C118">
        <v>9371.9003909999992</v>
      </c>
      <c r="D118">
        <v>9217.9003909999992</v>
      </c>
      <c r="E118">
        <v>9352.0996090000008</v>
      </c>
      <c r="F118">
        <v>9352.0996090000008</v>
      </c>
      <c r="G118">
        <v>129139100</v>
      </c>
    </row>
    <row r="119" spans="1:7" x14ac:dyDescent="0.2">
      <c r="A119" s="1">
        <v>45210</v>
      </c>
      <c r="B119">
        <v>9306.7998050000006</v>
      </c>
      <c r="C119">
        <v>9381.7001949999994</v>
      </c>
      <c r="D119">
        <v>9297.5</v>
      </c>
      <c r="E119">
        <v>9360.4003909999992</v>
      </c>
      <c r="F119">
        <v>9360.4003909999992</v>
      </c>
      <c r="G119">
        <v>108807000</v>
      </c>
    </row>
    <row r="120" spans="1:7" x14ac:dyDescent="0.2">
      <c r="A120" s="1">
        <v>45211</v>
      </c>
      <c r="B120">
        <v>9403.7998050000006</v>
      </c>
      <c r="C120">
        <v>9434.5</v>
      </c>
      <c r="D120">
        <v>9322</v>
      </c>
      <c r="E120">
        <v>9336</v>
      </c>
      <c r="F120">
        <v>9336</v>
      </c>
      <c r="G120">
        <v>94383400</v>
      </c>
    </row>
    <row r="121" spans="1:7" x14ac:dyDescent="0.2">
      <c r="A121" s="1">
        <v>45212</v>
      </c>
      <c r="B121">
        <v>9317.2001949999994</v>
      </c>
      <c r="C121">
        <v>9363.4003909999992</v>
      </c>
      <c r="D121">
        <v>9223.7998050000006</v>
      </c>
      <c r="E121">
        <v>9232.9003909999992</v>
      </c>
      <c r="F121">
        <v>9232.9003909999992</v>
      </c>
      <c r="G121">
        <v>143092900</v>
      </c>
    </row>
    <row r="122" spans="1:7" x14ac:dyDescent="0.2">
      <c r="A122" s="1">
        <v>45215</v>
      </c>
      <c r="B122">
        <v>9244.7998050000006</v>
      </c>
      <c r="C122">
        <v>9306</v>
      </c>
      <c r="D122">
        <v>9174.2001949999994</v>
      </c>
      <c r="E122">
        <v>9287.0996090000008</v>
      </c>
      <c r="F122">
        <v>9287.0996090000008</v>
      </c>
      <c r="G122">
        <v>105248200</v>
      </c>
    </row>
    <row r="123" spans="1:7" x14ac:dyDescent="0.2">
      <c r="A123" s="1">
        <v>45216</v>
      </c>
      <c r="B123">
        <v>9268.4003909999992</v>
      </c>
      <c r="C123">
        <v>9323.4003909999992</v>
      </c>
      <c r="D123">
        <v>9219.5</v>
      </c>
      <c r="E123">
        <v>9298.5</v>
      </c>
      <c r="F123">
        <v>9298.5</v>
      </c>
      <c r="G123">
        <v>79826100</v>
      </c>
    </row>
    <row r="124" spans="1:7" x14ac:dyDescent="0.2">
      <c r="A124" s="1">
        <v>45217</v>
      </c>
      <c r="B124">
        <v>9278.2001949999994</v>
      </c>
      <c r="C124">
        <v>9305.7001949999994</v>
      </c>
      <c r="D124">
        <v>9202.5</v>
      </c>
      <c r="E124">
        <v>9212.7001949999994</v>
      </c>
      <c r="F124">
        <v>9212.7001949999994</v>
      </c>
      <c r="G124">
        <v>108127200</v>
      </c>
    </row>
    <row r="125" spans="1:7" x14ac:dyDescent="0.2">
      <c r="A125" s="1">
        <v>45218</v>
      </c>
      <c r="B125">
        <v>9176.7998050000006</v>
      </c>
      <c r="C125">
        <v>9189.7001949999994</v>
      </c>
      <c r="D125">
        <v>9101.0996090000008</v>
      </c>
      <c r="E125">
        <v>9146.7998050000006</v>
      </c>
      <c r="F125">
        <v>9146.7998050000006</v>
      </c>
      <c r="G125">
        <v>143366500</v>
      </c>
    </row>
    <row r="126" spans="1:7" x14ac:dyDescent="0.2">
      <c r="A126" s="1">
        <v>45219</v>
      </c>
      <c r="B126">
        <v>9067.0996090000008</v>
      </c>
      <c r="C126">
        <v>9098.2998050000006</v>
      </c>
      <c r="D126">
        <v>9021.7998050000006</v>
      </c>
      <c r="E126">
        <v>9029.0996090000008</v>
      </c>
      <c r="F126">
        <v>9029.0996090000008</v>
      </c>
      <c r="G126">
        <v>230887100</v>
      </c>
    </row>
    <row r="127" spans="1:7" x14ac:dyDescent="0.2">
      <c r="A127" s="1">
        <v>45222</v>
      </c>
      <c r="B127">
        <v>9028.7001949999994</v>
      </c>
      <c r="C127">
        <v>9037</v>
      </c>
      <c r="D127">
        <v>8920.7001949999994</v>
      </c>
      <c r="E127">
        <v>8995.5</v>
      </c>
      <c r="F127">
        <v>8995.5</v>
      </c>
      <c r="G127">
        <v>139157300</v>
      </c>
    </row>
    <row r="128" spans="1:7" x14ac:dyDescent="0.2">
      <c r="A128" s="1">
        <v>45223</v>
      </c>
      <c r="B128">
        <v>9004.2001949999994</v>
      </c>
      <c r="C128">
        <v>9029</v>
      </c>
      <c r="D128">
        <v>8950.7998050000006</v>
      </c>
      <c r="E128">
        <v>8975.7998050000006</v>
      </c>
      <c r="F128">
        <v>8975.7998050000006</v>
      </c>
      <c r="G128">
        <v>162189000</v>
      </c>
    </row>
    <row r="129" spans="1:7" x14ac:dyDescent="0.2">
      <c r="A129" s="1">
        <v>45224</v>
      </c>
      <c r="B129">
        <v>8961.7998050000006</v>
      </c>
      <c r="C129">
        <v>9000.7998050000006</v>
      </c>
      <c r="D129">
        <v>8898</v>
      </c>
      <c r="E129">
        <v>8984.7998050000006</v>
      </c>
      <c r="F129">
        <v>8984.7998050000006</v>
      </c>
      <c r="G129">
        <v>149177700</v>
      </c>
    </row>
    <row r="130" spans="1:7" x14ac:dyDescent="0.2">
      <c r="A130" s="1">
        <v>45225</v>
      </c>
      <c r="B130">
        <v>8926.9003909999992</v>
      </c>
      <c r="C130">
        <v>8978.5</v>
      </c>
      <c r="D130">
        <v>8879.2998050000006</v>
      </c>
      <c r="E130">
        <v>8962.7998050000006</v>
      </c>
      <c r="F130">
        <v>8962.7998050000006</v>
      </c>
      <c r="G130">
        <v>164229500</v>
      </c>
    </row>
    <row r="131" spans="1:7" x14ac:dyDescent="0.2">
      <c r="A131" s="1">
        <v>45226</v>
      </c>
      <c r="B131">
        <v>9015.7001949999994</v>
      </c>
      <c r="C131">
        <v>9037.2998050000006</v>
      </c>
      <c r="D131">
        <v>8904.0996090000008</v>
      </c>
      <c r="E131">
        <v>8918.2998050000006</v>
      </c>
      <c r="F131">
        <v>8918.2998050000006</v>
      </c>
      <c r="G131">
        <v>178436300</v>
      </c>
    </row>
    <row r="132" spans="1:7" x14ac:dyDescent="0.2">
      <c r="A132" s="1">
        <v>45229</v>
      </c>
      <c r="B132">
        <v>8955.2001949999994</v>
      </c>
      <c r="C132">
        <v>9048.4003909999992</v>
      </c>
      <c r="D132">
        <v>8945.9003909999992</v>
      </c>
      <c r="E132">
        <v>9013.9003909999992</v>
      </c>
      <c r="F132">
        <v>9013.9003909999992</v>
      </c>
      <c r="G132">
        <v>164425900</v>
      </c>
    </row>
    <row r="133" spans="1:7" x14ac:dyDescent="0.2">
      <c r="A133" s="1">
        <v>45230</v>
      </c>
      <c r="B133">
        <v>8978.5996090000008</v>
      </c>
      <c r="C133">
        <v>9084.9003909999992</v>
      </c>
      <c r="D133">
        <v>8959.5996090000008</v>
      </c>
      <c r="E133">
        <v>9017.2998050000006</v>
      </c>
      <c r="F133">
        <v>9017.2998050000006</v>
      </c>
      <c r="G133">
        <v>189064200</v>
      </c>
    </row>
    <row r="134" spans="1:7" x14ac:dyDescent="0.2">
      <c r="A134" s="1">
        <v>45231</v>
      </c>
      <c r="B134">
        <v>9039.7998050000006</v>
      </c>
      <c r="C134">
        <v>9093.2998050000006</v>
      </c>
      <c r="D134">
        <v>8999.7998050000006</v>
      </c>
      <c r="E134">
        <v>9075</v>
      </c>
      <c r="F134">
        <v>9075</v>
      </c>
      <c r="G134">
        <v>121703800</v>
      </c>
    </row>
    <row r="135" spans="1:7" x14ac:dyDescent="0.2">
      <c r="A135" s="1">
        <v>45232</v>
      </c>
      <c r="B135">
        <v>9122.4003909999992</v>
      </c>
      <c r="C135">
        <v>9278.0996090000008</v>
      </c>
      <c r="D135">
        <v>9101.9003909999992</v>
      </c>
      <c r="E135">
        <v>9260.4003909999992</v>
      </c>
      <c r="F135">
        <v>9260.4003909999992</v>
      </c>
      <c r="G135">
        <v>152576500</v>
      </c>
    </row>
    <row r="136" spans="1:7" x14ac:dyDescent="0.2">
      <c r="A136" s="1">
        <v>45233</v>
      </c>
      <c r="B136">
        <v>9294.9003909999992</v>
      </c>
      <c r="C136">
        <v>9339.7998050000006</v>
      </c>
      <c r="D136">
        <v>9249.5996090000008</v>
      </c>
      <c r="E136">
        <v>9293.9003909999992</v>
      </c>
      <c r="F136">
        <v>9293.9003909999992</v>
      </c>
      <c r="G136">
        <v>152566200</v>
      </c>
    </row>
    <row r="137" spans="1:7" x14ac:dyDescent="0.2">
      <c r="A137" s="1">
        <v>45236</v>
      </c>
      <c r="B137">
        <v>9296.4003909999992</v>
      </c>
      <c r="C137">
        <v>9313.5996090000008</v>
      </c>
      <c r="D137">
        <v>9224.7001949999994</v>
      </c>
      <c r="E137">
        <v>9241.5</v>
      </c>
      <c r="F137">
        <v>9241.5</v>
      </c>
      <c r="G137">
        <v>114365200</v>
      </c>
    </row>
    <row r="138" spans="1:7" x14ac:dyDescent="0.2">
      <c r="A138" s="1">
        <v>45237</v>
      </c>
      <c r="B138">
        <v>9208.5</v>
      </c>
      <c r="C138">
        <v>9279.7998050000006</v>
      </c>
      <c r="D138">
        <v>9201.2998050000006</v>
      </c>
      <c r="E138">
        <v>9235.9003909999992</v>
      </c>
      <c r="F138">
        <v>9235.9003909999992</v>
      </c>
      <c r="G138">
        <v>113897000</v>
      </c>
    </row>
    <row r="139" spans="1:7" x14ac:dyDescent="0.2">
      <c r="A139" s="1">
        <v>45238</v>
      </c>
      <c r="B139">
        <v>9203.4003909999992</v>
      </c>
      <c r="C139">
        <v>9326.5</v>
      </c>
      <c r="D139">
        <v>9200.2998050000006</v>
      </c>
      <c r="E139">
        <v>9283.7998050000006</v>
      </c>
      <c r="F139">
        <v>9283.7998050000006</v>
      </c>
      <c r="G139">
        <v>146534900</v>
      </c>
    </row>
    <row r="140" spans="1:7" x14ac:dyDescent="0.2">
      <c r="A140" s="1">
        <v>45239</v>
      </c>
      <c r="B140">
        <v>9295.7001949999994</v>
      </c>
      <c r="C140">
        <v>9420.2001949999994</v>
      </c>
      <c r="D140">
        <v>9291.2001949999994</v>
      </c>
      <c r="E140">
        <v>9405.2001949999994</v>
      </c>
      <c r="F140">
        <v>9405.2001949999994</v>
      </c>
      <c r="G140">
        <v>133336100</v>
      </c>
    </row>
    <row r="141" spans="1:7" x14ac:dyDescent="0.2">
      <c r="A141" s="1">
        <v>45240</v>
      </c>
      <c r="B141">
        <v>9367.4003909999992</v>
      </c>
      <c r="C141">
        <v>9415.2001949999994</v>
      </c>
      <c r="D141">
        <v>9329.2998050000006</v>
      </c>
      <c r="E141">
        <v>9371.7001949999994</v>
      </c>
      <c r="F141">
        <v>9371.7001949999994</v>
      </c>
      <c r="G141">
        <v>122578700</v>
      </c>
    </row>
    <row r="142" spans="1:7" x14ac:dyDescent="0.2">
      <c r="A142" s="1">
        <v>45243</v>
      </c>
      <c r="B142">
        <v>9409.5996090000008</v>
      </c>
      <c r="C142">
        <v>9463.2998050000006</v>
      </c>
      <c r="D142">
        <v>9401</v>
      </c>
      <c r="E142">
        <v>9461.7001949999994</v>
      </c>
      <c r="F142">
        <v>9461.7001949999994</v>
      </c>
      <c r="G142">
        <v>142296700</v>
      </c>
    </row>
    <row r="143" spans="1:7" x14ac:dyDescent="0.2">
      <c r="A143" s="1">
        <v>45244</v>
      </c>
      <c r="B143">
        <v>9488</v>
      </c>
      <c r="C143">
        <v>9636.5996090000008</v>
      </c>
      <c r="D143">
        <v>9471.7998050000006</v>
      </c>
      <c r="E143">
        <v>9623.2998050000006</v>
      </c>
      <c r="F143">
        <v>9623.2998050000006</v>
      </c>
      <c r="G143">
        <v>171920600</v>
      </c>
    </row>
    <row r="144" spans="1:7" x14ac:dyDescent="0.2">
      <c r="A144" s="1">
        <v>45245</v>
      </c>
      <c r="B144">
        <v>9636.0996090000008</v>
      </c>
      <c r="C144">
        <v>9684.9003909999992</v>
      </c>
      <c r="D144">
        <v>9604</v>
      </c>
      <c r="E144">
        <v>9640.7001949999994</v>
      </c>
      <c r="F144">
        <v>9640.7001949999994</v>
      </c>
      <c r="G144">
        <v>161156100</v>
      </c>
    </row>
    <row r="145" spans="1:7" x14ac:dyDescent="0.2">
      <c r="A145" s="1">
        <v>45246</v>
      </c>
      <c r="B145">
        <v>9652.5</v>
      </c>
      <c r="C145">
        <v>9710.4003909999992</v>
      </c>
      <c r="D145">
        <v>9652.5</v>
      </c>
      <c r="E145">
        <v>9667.4003909999992</v>
      </c>
      <c r="F145">
        <v>9667.4003909999992</v>
      </c>
      <c r="G145">
        <v>132367600</v>
      </c>
    </row>
    <row r="146" spans="1:7" x14ac:dyDescent="0.2">
      <c r="A146" s="1">
        <v>45247</v>
      </c>
      <c r="B146">
        <v>9697.2001949999994</v>
      </c>
      <c r="C146">
        <v>9774.7001949999994</v>
      </c>
      <c r="D146">
        <v>9693.5996090000008</v>
      </c>
      <c r="E146">
        <v>9761.4003909999992</v>
      </c>
      <c r="F146">
        <v>9761.4003909999992</v>
      </c>
      <c r="G146">
        <v>249654700</v>
      </c>
    </row>
    <row r="147" spans="1:7" x14ac:dyDescent="0.2">
      <c r="A147" s="1">
        <v>45250</v>
      </c>
      <c r="B147">
        <v>9761.2001949999994</v>
      </c>
      <c r="C147">
        <v>9857</v>
      </c>
      <c r="D147">
        <v>9759.7001949999994</v>
      </c>
      <c r="E147">
        <v>9839</v>
      </c>
      <c r="F147">
        <v>9839</v>
      </c>
      <c r="G147">
        <v>144062800</v>
      </c>
    </row>
    <row r="148" spans="1:7" x14ac:dyDescent="0.2">
      <c r="A148" s="1">
        <v>45251</v>
      </c>
      <c r="B148">
        <v>9832.5</v>
      </c>
      <c r="C148">
        <v>9858.4003909999992</v>
      </c>
      <c r="D148">
        <v>9801.7001949999994</v>
      </c>
      <c r="E148">
        <v>9827.5</v>
      </c>
      <c r="F148">
        <v>9827.5</v>
      </c>
      <c r="G148">
        <v>141826400</v>
      </c>
    </row>
    <row r="149" spans="1:7" x14ac:dyDescent="0.2">
      <c r="A149" s="1">
        <v>45252</v>
      </c>
      <c r="B149">
        <v>9852.5</v>
      </c>
      <c r="C149">
        <v>9897.2001949999994</v>
      </c>
      <c r="D149">
        <v>9847.0996090000008</v>
      </c>
      <c r="E149">
        <v>9887.4003909999992</v>
      </c>
      <c r="F149">
        <v>9887.4003909999992</v>
      </c>
      <c r="G149">
        <v>125070100</v>
      </c>
    </row>
    <row r="150" spans="1:7" x14ac:dyDescent="0.2">
      <c r="A150" s="1">
        <v>45253</v>
      </c>
      <c r="B150">
        <v>9891</v>
      </c>
      <c r="C150">
        <v>9921.0996090000008</v>
      </c>
      <c r="D150">
        <v>9873.9003909999992</v>
      </c>
      <c r="E150">
        <v>9905.5</v>
      </c>
      <c r="F150">
        <v>9905.5</v>
      </c>
      <c r="G150">
        <v>111600100</v>
      </c>
    </row>
    <row r="151" spans="1:7" x14ac:dyDescent="0.2">
      <c r="A151" s="1">
        <v>45254</v>
      </c>
      <c r="B151">
        <v>9906.4003909999992</v>
      </c>
      <c r="C151">
        <v>9957.2998050000006</v>
      </c>
      <c r="D151">
        <v>9901.9003909999992</v>
      </c>
      <c r="E151">
        <v>9939</v>
      </c>
      <c r="F151">
        <v>9939</v>
      </c>
      <c r="G151">
        <v>93309200</v>
      </c>
    </row>
    <row r="152" spans="1:7" x14ac:dyDescent="0.2">
      <c r="A152" s="1">
        <v>45257</v>
      </c>
      <c r="B152">
        <v>9927.2998050000006</v>
      </c>
      <c r="C152">
        <v>9983.9003909999992</v>
      </c>
      <c r="D152">
        <v>9925.7998050000006</v>
      </c>
      <c r="E152">
        <v>9936.0996090000008</v>
      </c>
      <c r="F152">
        <v>9936.0996090000008</v>
      </c>
      <c r="G152">
        <v>112098900</v>
      </c>
    </row>
    <row r="153" spans="1:7" x14ac:dyDescent="0.2">
      <c r="A153" s="1">
        <v>45258</v>
      </c>
      <c r="B153">
        <v>9925.2001949999994</v>
      </c>
      <c r="C153">
        <v>10014.299805000001</v>
      </c>
      <c r="D153">
        <v>9919.5</v>
      </c>
      <c r="E153">
        <v>10003.400390999999</v>
      </c>
      <c r="F153">
        <v>10003.400390999999</v>
      </c>
      <c r="G153">
        <v>118647800</v>
      </c>
    </row>
    <row r="154" spans="1:7" x14ac:dyDescent="0.2">
      <c r="A154" s="1">
        <v>45259</v>
      </c>
      <c r="B154">
        <v>10018.400390999999</v>
      </c>
      <c r="C154">
        <v>10097.900390999999</v>
      </c>
      <c r="D154">
        <v>10018.400390999999</v>
      </c>
      <c r="E154">
        <v>10062.599609000001</v>
      </c>
      <c r="F154">
        <v>10062.599609000001</v>
      </c>
      <c r="G154">
        <v>129372500</v>
      </c>
    </row>
    <row r="155" spans="1:7" x14ac:dyDescent="0.2">
      <c r="A155" s="1">
        <v>45260</v>
      </c>
      <c r="B155">
        <v>10079.299805000001</v>
      </c>
      <c r="C155">
        <v>10103.799805000001</v>
      </c>
      <c r="D155">
        <v>10053.799805000001</v>
      </c>
      <c r="E155">
        <v>10058.200194999999</v>
      </c>
      <c r="F155">
        <v>10058.200194999999</v>
      </c>
      <c r="G155">
        <v>252839300</v>
      </c>
    </row>
    <row r="156" spans="1:7" x14ac:dyDescent="0.2">
      <c r="A156" s="1">
        <v>45261</v>
      </c>
      <c r="B156">
        <v>10085.900390999999</v>
      </c>
      <c r="C156">
        <v>10140.799805000001</v>
      </c>
      <c r="D156">
        <v>10080.900390999999</v>
      </c>
      <c r="E156">
        <v>10140.799805000001</v>
      </c>
      <c r="F156">
        <v>10140.799805000001</v>
      </c>
      <c r="G156">
        <v>117751200</v>
      </c>
    </row>
    <row r="157" spans="1:7" x14ac:dyDescent="0.2">
      <c r="A157" s="1">
        <v>45264</v>
      </c>
      <c r="B157">
        <v>10135.799805000001</v>
      </c>
      <c r="C157">
        <v>10201.700194999999</v>
      </c>
      <c r="D157">
        <v>10135.799805000001</v>
      </c>
      <c r="E157">
        <v>10178.299805000001</v>
      </c>
      <c r="F157">
        <v>10178.299805000001</v>
      </c>
      <c r="G157">
        <v>105497200</v>
      </c>
    </row>
    <row r="158" spans="1:7" x14ac:dyDescent="0.2">
      <c r="A158" s="1">
        <v>45265</v>
      </c>
      <c r="B158">
        <v>10174.799805000001</v>
      </c>
      <c r="C158">
        <v>10262.900390999999</v>
      </c>
      <c r="D158">
        <v>10166.099609000001</v>
      </c>
      <c r="E158">
        <v>10238.400390999999</v>
      </c>
      <c r="F158">
        <v>10238.400390999999</v>
      </c>
      <c r="G158">
        <v>137169800</v>
      </c>
    </row>
    <row r="159" spans="1:7" x14ac:dyDescent="0.2">
      <c r="A159" s="1">
        <v>45266</v>
      </c>
      <c r="B159">
        <v>10263.400390999999</v>
      </c>
      <c r="C159">
        <v>10301.299805000001</v>
      </c>
      <c r="D159">
        <v>10229.700194999999</v>
      </c>
      <c r="E159">
        <v>10258.099609000001</v>
      </c>
      <c r="F159">
        <v>10258.099609000001</v>
      </c>
      <c r="G159">
        <v>134294600</v>
      </c>
    </row>
    <row r="160" spans="1:7" x14ac:dyDescent="0.2">
      <c r="A160" s="1">
        <v>45267</v>
      </c>
      <c r="B160">
        <v>10226</v>
      </c>
      <c r="C160">
        <v>10246.700194999999</v>
      </c>
      <c r="D160">
        <v>10113.900390999999</v>
      </c>
      <c r="E160">
        <v>10146</v>
      </c>
      <c r="F160">
        <v>10146</v>
      </c>
      <c r="G160">
        <v>210704200</v>
      </c>
    </row>
    <row r="161" spans="1:7" x14ac:dyDescent="0.2">
      <c r="A161" s="1">
        <v>45268</v>
      </c>
      <c r="B161">
        <v>10153.5</v>
      </c>
      <c r="C161">
        <v>10229.200194999999</v>
      </c>
      <c r="D161">
        <v>10139.400390999999</v>
      </c>
      <c r="E161">
        <v>10223.400390999999</v>
      </c>
      <c r="F161">
        <v>10223.400390999999</v>
      </c>
      <c r="G161">
        <v>139106200</v>
      </c>
    </row>
    <row r="162" spans="1:7" x14ac:dyDescent="0.2">
      <c r="A162" s="1">
        <v>45271</v>
      </c>
      <c r="B162">
        <v>10216.5</v>
      </c>
      <c r="C162">
        <v>10226.599609000001</v>
      </c>
      <c r="D162">
        <v>10178.200194999999</v>
      </c>
      <c r="E162">
        <v>10198</v>
      </c>
      <c r="F162">
        <v>10198</v>
      </c>
      <c r="G162">
        <v>140388800</v>
      </c>
    </row>
    <row r="163" spans="1:7" x14ac:dyDescent="0.2">
      <c r="A163" s="1">
        <v>45272</v>
      </c>
      <c r="B163">
        <v>10184.799805000001</v>
      </c>
      <c r="C163">
        <v>10198.400390999999</v>
      </c>
      <c r="D163">
        <v>10111.400390999999</v>
      </c>
      <c r="E163">
        <v>10118.700194999999</v>
      </c>
      <c r="F163">
        <v>10118.700194999999</v>
      </c>
      <c r="G163">
        <v>145123700</v>
      </c>
    </row>
    <row r="164" spans="1:7" x14ac:dyDescent="0.2">
      <c r="A164" s="1">
        <v>45273</v>
      </c>
      <c r="B164">
        <v>10112.599609000001</v>
      </c>
      <c r="C164">
        <v>10158.700194999999</v>
      </c>
      <c r="D164">
        <v>10077</v>
      </c>
      <c r="E164">
        <v>10096.099609000001</v>
      </c>
      <c r="F164">
        <v>10096.099609000001</v>
      </c>
      <c r="G164">
        <v>142958200</v>
      </c>
    </row>
    <row r="165" spans="1:7" x14ac:dyDescent="0.2">
      <c r="A165" s="1">
        <v>45274</v>
      </c>
      <c r="B165">
        <v>10225.900390999999</v>
      </c>
      <c r="C165">
        <v>10257.799805000001</v>
      </c>
      <c r="D165">
        <v>10124.099609000001</v>
      </c>
      <c r="E165">
        <v>10171.700194999999</v>
      </c>
      <c r="F165">
        <v>10171.700194999999</v>
      </c>
      <c r="G165">
        <v>255848900</v>
      </c>
    </row>
    <row r="166" spans="1:7" x14ac:dyDescent="0.2">
      <c r="A166" s="1">
        <v>45275</v>
      </c>
      <c r="B166">
        <v>10192.299805000001</v>
      </c>
      <c r="C166">
        <v>10200.799805000001</v>
      </c>
      <c r="D166">
        <v>10050.700194999999</v>
      </c>
      <c r="E166">
        <v>10095.599609000001</v>
      </c>
      <c r="F166">
        <v>10095.599609000001</v>
      </c>
      <c r="G166">
        <v>330245400</v>
      </c>
    </row>
    <row r="167" spans="1:7" x14ac:dyDescent="0.2">
      <c r="A167" s="1">
        <v>45278</v>
      </c>
      <c r="B167">
        <v>10063.5</v>
      </c>
      <c r="C167">
        <v>10125.799805000001</v>
      </c>
      <c r="D167">
        <v>10039.299805000001</v>
      </c>
      <c r="E167">
        <v>10054.900390999999</v>
      </c>
      <c r="F167">
        <v>10054.900390999999</v>
      </c>
      <c r="G167">
        <v>134020100</v>
      </c>
    </row>
    <row r="168" spans="1:7" x14ac:dyDescent="0.2">
      <c r="A168" s="1">
        <v>45279</v>
      </c>
      <c r="B168">
        <v>10055.200194999999</v>
      </c>
      <c r="C168">
        <v>10123.099609000001</v>
      </c>
      <c r="D168">
        <v>10023.799805000001</v>
      </c>
      <c r="E168">
        <v>10106.700194999999</v>
      </c>
      <c r="F168">
        <v>10106.700194999999</v>
      </c>
      <c r="G168">
        <v>115239700</v>
      </c>
    </row>
    <row r="169" spans="1:7" x14ac:dyDescent="0.2">
      <c r="A169" s="1">
        <v>45280</v>
      </c>
      <c r="B169">
        <v>10148.099609000001</v>
      </c>
      <c r="C169">
        <v>10158.200194999999</v>
      </c>
      <c r="D169">
        <v>10037.5</v>
      </c>
      <c r="E169">
        <v>10101</v>
      </c>
      <c r="F169">
        <v>10101</v>
      </c>
      <c r="G169">
        <v>146798700</v>
      </c>
    </row>
    <row r="170" spans="1:7" x14ac:dyDescent="0.2">
      <c r="A170" s="1">
        <v>45281</v>
      </c>
      <c r="B170">
        <v>10065.400390999999</v>
      </c>
      <c r="C170">
        <v>10108.5</v>
      </c>
      <c r="D170">
        <v>10063.299805000001</v>
      </c>
      <c r="E170">
        <v>10104.299805000001</v>
      </c>
      <c r="F170">
        <v>10104.299805000001</v>
      </c>
      <c r="G170">
        <v>84138300</v>
      </c>
    </row>
    <row r="171" spans="1:7" x14ac:dyDescent="0.2">
      <c r="A171" s="1">
        <v>45282</v>
      </c>
      <c r="B171">
        <v>10094.099609000001</v>
      </c>
      <c r="C171">
        <v>10143.099609000001</v>
      </c>
      <c r="D171">
        <v>10081</v>
      </c>
      <c r="E171">
        <v>10111.900390999999</v>
      </c>
      <c r="F171">
        <v>10111.900390999999</v>
      </c>
      <c r="G171">
        <v>91972000</v>
      </c>
    </row>
    <row r="172" spans="1:7" x14ac:dyDescent="0.2">
      <c r="A172" s="1">
        <v>45287</v>
      </c>
      <c r="B172">
        <v>10091.799805000001</v>
      </c>
      <c r="C172">
        <v>10146.799805000001</v>
      </c>
      <c r="D172">
        <v>10077.900390999999</v>
      </c>
      <c r="E172">
        <v>10121.799805000001</v>
      </c>
      <c r="F172">
        <v>10121.799805000001</v>
      </c>
      <c r="G172">
        <v>130947500</v>
      </c>
    </row>
    <row r="173" spans="1:7" x14ac:dyDescent="0.2">
      <c r="A173" s="1">
        <v>45288</v>
      </c>
      <c r="B173">
        <v>10126.299805000001</v>
      </c>
      <c r="C173">
        <v>10136.299805000001</v>
      </c>
      <c r="D173">
        <v>10074.599609000001</v>
      </c>
      <c r="E173">
        <v>10086.200194999999</v>
      </c>
      <c r="F173">
        <v>10086.200194999999</v>
      </c>
      <c r="G173">
        <v>95148800</v>
      </c>
    </row>
    <row r="174" spans="1:7" x14ac:dyDescent="0.2">
      <c r="A174" s="1">
        <v>45289</v>
      </c>
      <c r="B174">
        <v>10090.900390999999</v>
      </c>
      <c r="C174">
        <v>10143.599609000001</v>
      </c>
      <c r="D174">
        <v>10090.900390999999</v>
      </c>
      <c r="E174">
        <v>10102.099609000001</v>
      </c>
      <c r="F174">
        <v>10102.099609000001</v>
      </c>
      <c r="G174">
        <v>101943700</v>
      </c>
    </row>
    <row r="175" spans="1:7" x14ac:dyDescent="0.2">
      <c r="A175" s="1">
        <v>45293</v>
      </c>
      <c r="B175">
        <v>10161.099609000001</v>
      </c>
      <c r="C175">
        <v>10287.900390999999</v>
      </c>
      <c r="D175">
        <v>10122.400390999999</v>
      </c>
      <c r="E175">
        <v>10182.099609000001</v>
      </c>
      <c r="F175">
        <v>10182.099609000001</v>
      </c>
      <c r="G175">
        <v>137052900</v>
      </c>
    </row>
    <row r="176" spans="1:7" x14ac:dyDescent="0.2">
      <c r="A176" s="1">
        <v>45294</v>
      </c>
      <c r="B176">
        <v>10183.799805000001</v>
      </c>
      <c r="C176">
        <v>10209.799805000001</v>
      </c>
      <c r="D176">
        <v>10038.099609000001</v>
      </c>
      <c r="E176">
        <v>10053.400390999999</v>
      </c>
      <c r="F176">
        <v>10053.400390999999</v>
      </c>
      <c r="G176">
        <v>136612300</v>
      </c>
    </row>
    <row r="177" spans="1:7" x14ac:dyDescent="0.2">
      <c r="A177" s="1">
        <v>45295</v>
      </c>
      <c r="B177">
        <v>10067.5</v>
      </c>
      <c r="C177">
        <v>10190.799805000001</v>
      </c>
      <c r="D177">
        <v>10067.5</v>
      </c>
      <c r="E177">
        <v>10182.400390999999</v>
      </c>
      <c r="F177">
        <v>10182.400390999999</v>
      </c>
      <c r="G177">
        <v>110894200</v>
      </c>
    </row>
    <row r="178" spans="1:7" x14ac:dyDescent="0.2">
      <c r="A178" s="1">
        <v>45296</v>
      </c>
      <c r="B178">
        <v>10130.299805000001</v>
      </c>
      <c r="C178">
        <v>10192</v>
      </c>
      <c r="D178">
        <v>10061.200194999999</v>
      </c>
      <c r="E178">
        <v>10164.5</v>
      </c>
      <c r="F178">
        <v>10164.5</v>
      </c>
      <c r="G178">
        <v>145036200</v>
      </c>
    </row>
    <row r="179" spans="1:7" x14ac:dyDescent="0.2">
      <c r="A179" s="1">
        <v>45299</v>
      </c>
      <c r="B179">
        <v>10140.5</v>
      </c>
      <c r="C179">
        <v>10209</v>
      </c>
      <c r="D179">
        <v>10079.299805000001</v>
      </c>
      <c r="E179">
        <v>10209</v>
      </c>
      <c r="F179">
        <v>10209</v>
      </c>
      <c r="G179">
        <v>110110400</v>
      </c>
    </row>
    <row r="180" spans="1:7" x14ac:dyDescent="0.2">
      <c r="A180" s="1">
        <v>45300</v>
      </c>
      <c r="B180">
        <v>10159</v>
      </c>
      <c r="C180">
        <v>10181.900390999999</v>
      </c>
      <c r="D180">
        <v>9994</v>
      </c>
      <c r="E180">
        <v>10060.299805000001</v>
      </c>
      <c r="F180">
        <v>10060.299805000001</v>
      </c>
      <c r="G180">
        <v>157192400</v>
      </c>
    </row>
    <row r="181" spans="1:7" x14ac:dyDescent="0.2">
      <c r="A181" s="1">
        <v>45301</v>
      </c>
      <c r="B181">
        <v>10053.900390999999</v>
      </c>
      <c r="C181">
        <v>10079.799805000001</v>
      </c>
      <c r="D181">
        <v>10017.799805000001</v>
      </c>
      <c r="E181">
        <v>10067.099609000001</v>
      </c>
      <c r="F181">
        <v>10067.099609000001</v>
      </c>
      <c r="G181">
        <v>136822100</v>
      </c>
    </row>
    <row r="182" spans="1:7" x14ac:dyDescent="0.2">
      <c r="A182" s="1">
        <v>45302</v>
      </c>
      <c r="B182">
        <v>10112.700194999999</v>
      </c>
      <c r="C182">
        <v>10151.799805000001</v>
      </c>
      <c r="D182">
        <v>10004.900390999999</v>
      </c>
      <c r="E182">
        <v>10004.900390999999</v>
      </c>
      <c r="F182">
        <v>10004.900390999999</v>
      </c>
      <c r="G182">
        <v>134217300</v>
      </c>
    </row>
    <row r="183" spans="1:7" x14ac:dyDescent="0.2">
      <c r="A183" s="1">
        <v>45303</v>
      </c>
      <c r="B183">
        <v>10024.799805000001</v>
      </c>
      <c r="C183">
        <v>10134.700194999999</v>
      </c>
      <c r="D183">
        <v>10023.799805000001</v>
      </c>
      <c r="E183">
        <v>10094.799805000001</v>
      </c>
      <c r="F183">
        <v>10094.799805000001</v>
      </c>
      <c r="G183">
        <v>134251900</v>
      </c>
    </row>
    <row r="184" spans="1:7" x14ac:dyDescent="0.2">
      <c r="A184" s="1">
        <v>45306</v>
      </c>
      <c r="B184">
        <v>10118.900390999999</v>
      </c>
      <c r="C184">
        <v>10135.299805000001</v>
      </c>
      <c r="D184">
        <v>10048.599609000001</v>
      </c>
      <c r="E184">
        <v>10076.900390999999</v>
      </c>
      <c r="F184">
        <v>10076.900390999999</v>
      </c>
      <c r="G184">
        <v>87931100</v>
      </c>
    </row>
    <row r="185" spans="1:7" x14ac:dyDescent="0.2">
      <c r="A185" s="1">
        <v>45307</v>
      </c>
      <c r="B185">
        <v>10022.700194999999</v>
      </c>
      <c r="C185">
        <v>10024.299805000001</v>
      </c>
      <c r="D185">
        <v>9955</v>
      </c>
      <c r="E185">
        <v>9994.0996090000008</v>
      </c>
      <c r="F185">
        <v>9994.0996090000008</v>
      </c>
      <c r="G185">
        <v>138279400</v>
      </c>
    </row>
    <row r="186" spans="1:7" x14ac:dyDescent="0.2">
      <c r="A186" s="1">
        <v>45308</v>
      </c>
      <c r="B186">
        <v>9916.7998050000006</v>
      </c>
      <c r="C186">
        <v>9916.7998050000006</v>
      </c>
      <c r="D186">
        <v>9826.5996090000008</v>
      </c>
      <c r="E186">
        <v>9867.7998050000006</v>
      </c>
      <c r="F186">
        <v>9867.7998050000006</v>
      </c>
      <c r="G186">
        <v>133882600</v>
      </c>
    </row>
    <row r="187" spans="1:7" x14ac:dyDescent="0.2">
      <c r="A187" s="1">
        <v>45309</v>
      </c>
      <c r="B187">
        <v>9876.7998050000006</v>
      </c>
      <c r="C187">
        <v>9901.5</v>
      </c>
      <c r="D187">
        <v>9798.7998050000006</v>
      </c>
      <c r="E187">
        <v>9880.2998050000006</v>
      </c>
      <c r="F187">
        <v>9880.2998050000006</v>
      </c>
      <c r="G187">
        <v>134134100</v>
      </c>
    </row>
    <row r="188" spans="1:7" x14ac:dyDescent="0.2">
      <c r="A188" s="1">
        <v>45310</v>
      </c>
      <c r="B188">
        <v>9915.7998050000006</v>
      </c>
      <c r="C188">
        <v>9931</v>
      </c>
      <c r="D188">
        <v>9823.7001949999994</v>
      </c>
      <c r="E188">
        <v>9858.2998050000006</v>
      </c>
      <c r="F188">
        <v>9858.2998050000006</v>
      </c>
      <c r="G188">
        <v>146590900</v>
      </c>
    </row>
    <row r="189" spans="1:7" x14ac:dyDescent="0.2">
      <c r="A189" s="1">
        <v>45313</v>
      </c>
      <c r="B189">
        <v>9915.2001949999994</v>
      </c>
      <c r="C189">
        <v>9980.7998050000006</v>
      </c>
      <c r="D189">
        <v>9903.2001949999994</v>
      </c>
      <c r="E189">
        <v>9968.0996090000008</v>
      </c>
      <c r="F189">
        <v>9968.0996090000008</v>
      </c>
      <c r="G189">
        <v>105116800</v>
      </c>
    </row>
    <row r="190" spans="1:7" x14ac:dyDescent="0.2">
      <c r="A190" s="1">
        <v>45314</v>
      </c>
      <c r="B190">
        <v>9980.5</v>
      </c>
      <c r="C190">
        <v>10000.599609000001</v>
      </c>
      <c r="D190">
        <v>9845.0996090000008</v>
      </c>
      <c r="E190">
        <v>9859.2001949999994</v>
      </c>
      <c r="F190">
        <v>9859.2001949999994</v>
      </c>
      <c r="G190">
        <v>119165400</v>
      </c>
    </row>
    <row r="191" spans="1:7" x14ac:dyDescent="0.2">
      <c r="A191" s="1">
        <v>45315</v>
      </c>
      <c r="B191">
        <v>9897.9003909999992</v>
      </c>
      <c r="C191">
        <v>9974</v>
      </c>
      <c r="D191">
        <v>9892.7998050000006</v>
      </c>
      <c r="E191">
        <v>9974</v>
      </c>
      <c r="F191">
        <v>9974</v>
      </c>
      <c r="G191">
        <v>126373600</v>
      </c>
    </row>
    <row r="192" spans="1:7" x14ac:dyDescent="0.2">
      <c r="A192" s="1">
        <v>45316</v>
      </c>
      <c r="B192">
        <v>9941.7001949999994</v>
      </c>
      <c r="C192">
        <v>9941.7001949999994</v>
      </c>
      <c r="D192">
        <v>9863.7998050000006</v>
      </c>
      <c r="E192">
        <v>9916.5996090000008</v>
      </c>
      <c r="F192">
        <v>9916.5996090000008</v>
      </c>
      <c r="G192">
        <v>162814100</v>
      </c>
    </row>
    <row r="193" spans="1:7" x14ac:dyDescent="0.2">
      <c r="A193" s="1">
        <v>45317</v>
      </c>
      <c r="B193">
        <v>9923.5</v>
      </c>
      <c r="C193">
        <v>9973</v>
      </c>
      <c r="D193">
        <v>9910.0996090000008</v>
      </c>
      <c r="E193">
        <v>9936.5996090000008</v>
      </c>
      <c r="F193">
        <v>9936.5996090000008</v>
      </c>
      <c r="G193">
        <v>107711200</v>
      </c>
    </row>
    <row r="194" spans="1:7" x14ac:dyDescent="0.2">
      <c r="A194" s="1">
        <v>45320</v>
      </c>
      <c r="B194">
        <v>9938.2998050000006</v>
      </c>
      <c r="C194">
        <v>9944</v>
      </c>
      <c r="D194">
        <v>9864.2001949999994</v>
      </c>
      <c r="E194">
        <v>9890.2998050000006</v>
      </c>
      <c r="F194">
        <v>9890.2998050000006</v>
      </c>
      <c r="G194">
        <v>112770300</v>
      </c>
    </row>
    <row r="195" spans="1:7" x14ac:dyDescent="0.2">
      <c r="A195" s="1">
        <v>45321</v>
      </c>
      <c r="B195">
        <v>9902.9003909999992</v>
      </c>
      <c r="C195">
        <v>10050.700194999999</v>
      </c>
      <c r="D195">
        <v>9888.4003909999992</v>
      </c>
      <c r="E195">
        <v>10039.299805000001</v>
      </c>
      <c r="F195">
        <v>10039.299805000001</v>
      </c>
      <c r="G195">
        <v>139738300</v>
      </c>
    </row>
    <row r="196" spans="1:7" x14ac:dyDescent="0.2">
      <c r="A196" s="1">
        <v>45322</v>
      </c>
      <c r="B196">
        <v>10066.200194999999</v>
      </c>
      <c r="C196">
        <v>10128</v>
      </c>
      <c r="D196">
        <v>10042.799805000001</v>
      </c>
      <c r="E196">
        <v>10077.700194999999</v>
      </c>
      <c r="F196">
        <v>10077.700194999999</v>
      </c>
      <c r="G196">
        <v>171867800</v>
      </c>
    </row>
    <row r="197" spans="1:7" x14ac:dyDescent="0.2">
      <c r="A197" s="1">
        <v>45323</v>
      </c>
      <c r="B197">
        <v>10034</v>
      </c>
      <c r="C197">
        <v>10149.599609000001</v>
      </c>
      <c r="D197">
        <v>9986.4003909999992</v>
      </c>
      <c r="E197">
        <v>10014</v>
      </c>
      <c r="F197">
        <v>10014</v>
      </c>
      <c r="G197">
        <v>208762700</v>
      </c>
    </row>
    <row r="198" spans="1:7" x14ac:dyDescent="0.2">
      <c r="A198" s="1">
        <v>45324</v>
      </c>
      <c r="B198">
        <v>10087.599609000001</v>
      </c>
      <c r="C198">
        <v>10132.799805000001</v>
      </c>
      <c r="D198">
        <v>10033.700194999999</v>
      </c>
      <c r="E198">
        <v>10062.5</v>
      </c>
      <c r="F198">
        <v>10062.5</v>
      </c>
      <c r="G198">
        <v>161360600</v>
      </c>
    </row>
    <row r="199" spans="1:7" x14ac:dyDescent="0.2">
      <c r="A199" s="1">
        <v>45327</v>
      </c>
      <c r="B199">
        <v>10047.400390999999</v>
      </c>
      <c r="C199">
        <v>10083.099609000001</v>
      </c>
      <c r="D199">
        <v>9928.5996090000008</v>
      </c>
      <c r="E199">
        <v>9941.2998050000006</v>
      </c>
      <c r="F199">
        <v>9941.2998050000006</v>
      </c>
      <c r="G199">
        <v>187035600</v>
      </c>
    </row>
    <row r="200" spans="1:7" x14ac:dyDescent="0.2">
      <c r="A200" s="1">
        <v>45328</v>
      </c>
      <c r="B200">
        <v>9988.2001949999994</v>
      </c>
      <c r="C200">
        <v>10013.599609000001</v>
      </c>
      <c r="D200">
        <v>9941.5996090000008</v>
      </c>
      <c r="E200">
        <v>10003</v>
      </c>
      <c r="F200">
        <v>10003</v>
      </c>
      <c r="G200">
        <v>148017600</v>
      </c>
    </row>
    <row r="201" spans="1:7" x14ac:dyDescent="0.2">
      <c r="A201" s="1">
        <v>45329</v>
      </c>
      <c r="B201">
        <v>9978.9003909999992</v>
      </c>
      <c r="C201">
        <v>9985.9003909999992</v>
      </c>
      <c r="D201">
        <v>9886.5</v>
      </c>
      <c r="E201">
        <v>9920.2001949999994</v>
      </c>
      <c r="F201">
        <v>9920.2001949999994</v>
      </c>
      <c r="G201">
        <v>154163400</v>
      </c>
    </row>
    <row r="202" spans="1:7" x14ac:dyDescent="0.2">
      <c r="A202" s="1">
        <v>45330</v>
      </c>
      <c r="B202">
        <v>9913.0996090000008</v>
      </c>
      <c r="C202">
        <v>9952.4003909999992</v>
      </c>
      <c r="D202">
        <v>9899.4003909999992</v>
      </c>
      <c r="E202">
        <v>9905.4003909999992</v>
      </c>
      <c r="F202">
        <v>9905.4003909999992</v>
      </c>
      <c r="G202">
        <v>110769400</v>
      </c>
    </row>
    <row r="203" spans="1:7" x14ac:dyDescent="0.2">
      <c r="A203" s="1">
        <v>45331</v>
      </c>
      <c r="B203">
        <v>9906</v>
      </c>
      <c r="C203">
        <v>9921.4003909999992</v>
      </c>
      <c r="D203">
        <v>9857.4003909999992</v>
      </c>
      <c r="E203">
        <v>9896.5996090000008</v>
      </c>
      <c r="F203">
        <v>9896.5996090000008</v>
      </c>
      <c r="G203">
        <v>153135700</v>
      </c>
    </row>
    <row r="204" spans="1:7" x14ac:dyDescent="0.2">
      <c r="A204" s="1">
        <v>45334</v>
      </c>
      <c r="B204">
        <v>9938.5</v>
      </c>
      <c r="C204">
        <v>9987</v>
      </c>
      <c r="D204">
        <v>9929.2998050000006</v>
      </c>
      <c r="E204">
        <v>9984.7001949999994</v>
      </c>
      <c r="F204">
        <v>9984.7001949999994</v>
      </c>
      <c r="G204">
        <v>95624200</v>
      </c>
    </row>
    <row r="205" spans="1:7" x14ac:dyDescent="0.2">
      <c r="A205" s="1">
        <v>45335</v>
      </c>
      <c r="B205">
        <v>9987.7998050000006</v>
      </c>
      <c r="C205">
        <v>10004.099609000001</v>
      </c>
      <c r="D205">
        <v>9908.2001949999994</v>
      </c>
      <c r="E205">
        <v>9925.4003909999992</v>
      </c>
      <c r="F205">
        <v>9925.4003909999992</v>
      </c>
      <c r="G205">
        <v>130998800</v>
      </c>
    </row>
    <row r="206" spans="1:7" x14ac:dyDescent="0.2">
      <c r="A206" s="1">
        <v>45336</v>
      </c>
      <c r="B206">
        <v>9922.5996090000008</v>
      </c>
      <c r="C206">
        <v>9991.5</v>
      </c>
      <c r="D206">
        <v>9913.2998050000006</v>
      </c>
      <c r="E206">
        <v>9916.5996090000008</v>
      </c>
      <c r="F206">
        <v>9916.5996090000008</v>
      </c>
      <c r="G206">
        <v>119508700</v>
      </c>
    </row>
    <row r="207" spans="1:7" x14ac:dyDescent="0.2">
      <c r="A207" s="1">
        <v>45337</v>
      </c>
      <c r="B207">
        <v>9955</v>
      </c>
      <c r="C207">
        <v>9963.9003909999992</v>
      </c>
      <c r="D207">
        <v>9861.2001949999994</v>
      </c>
      <c r="E207">
        <v>9927.2998050000006</v>
      </c>
      <c r="F207">
        <v>9927.2998050000006</v>
      </c>
      <c r="G207">
        <v>113529500</v>
      </c>
    </row>
    <row r="208" spans="1:7" x14ac:dyDescent="0.2">
      <c r="A208" s="1">
        <v>45338</v>
      </c>
      <c r="B208">
        <v>9975.2001949999994</v>
      </c>
      <c r="C208">
        <v>9978.4003909999992</v>
      </c>
      <c r="D208">
        <v>9841.5996090000008</v>
      </c>
      <c r="E208">
        <v>9886.4003909999992</v>
      </c>
      <c r="F208">
        <v>9886.4003909999992</v>
      </c>
      <c r="G208">
        <v>126325600</v>
      </c>
    </row>
    <row r="209" spans="1:7" x14ac:dyDescent="0.2">
      <c r="A209" s="1">
        <v>45341</v>
      </c>
      <c r="B209">
        <v>9884.5996090000008</v>
      </c>
      <c r="C209">
        <v>9954.7998050000006</v>
      </c>
      <c r="D209">
        <v>9878.2998050000006</v>
      </c>
      <c r="E209">
        <v>9944.7998050000006</v>
      </c>
      <c r="F209">
        <v>9944.7998050000006</v>
      </c>
      <c r="G209">
        <v>87430700</v>
      </c>
    </row>
    <row r="210" spans="1:7" x14ac:dyDescent="0.2">
      <c r="A210" s="1">
        <v>45342</v>
      </c>
      <c r="B210">
        <v>9940.0996090000008</v>
      </c>
      <c r="C210">
        <v>10048.299805000001</v>
      </c>
      <c r="D210">
        <v>9926.5</v>
      </c>
      <c r="E210">
        <v>10038.200194999999</v>
      </c>
      <c r="F210">
        <v>10038.200194999999</v>
      </c>
      <c r="G210">
        <v>118742600</v>
      </c>
    </row>
    <row r="211" spans="1:7" x14ac:dyDescent="0.2">
      <c r="A211" s="1">
        <v>45343</v>
      </c>
      <c r="B211">
        <v>10049.799805000001</v>
      </c>
      <c r="C211">
        <v>10127.299805000001</v>
      </c>
      <c r="D211">
        <v>10031.5</v>
      </c>
      <c r="E211">
        <v>10107.200194999999</v>
      </c>
      <c r="F211">
        <v>10107.200194999999</v>
      </c>
      <c r="G211">
        <v>105194400</v>
      </c>
    </row>
    <row r="212" spans="1:7" x14ac:dyDescent="0.2">
      <c r="A212" s="1">
        <v>45344</v>
      </c>
      <c r="B212">
        <v>10179.099609000001</v>
      </c>
      <c r="C212">
        <v>10196.400390999999</v>
      </c>
      <c r="D212">
        <v>10120.900390999999</v>
      </c>
      <c r="E212">
        <v>10138.900390999999</v>
      </c>
      <c r="F212">
        <v>10138.900390999999</v>
      </c>
      <c r="G212">
        <v>155634000</v>
      </c>
    </row>
    <row r="213" spans="1:7" x14ac:dyDescent="0.2">
      <c r="A213" s="1">
        <v>45345</v>
      </c>
      <c r="B213">
        <v>10123.299805000001</v>
      </c>
      <c r="C213">
        <v>10136.700194999999</v>
      </c>
      <c r="D213">
        <v>10064.299805000001</v>
      </c>
      <c r="E213">
        <v>10130.599609000001</v>
      </c>
      <c r="F213">
        <v>10130.599609000001</v>
      </c>
      <c r="G213">
        <v>108883100</v>
      </c>
    </row>
    <row r="214" spans="1:7" x14ac:dyDescent="0.2">
      <c r="A214" s="1">
        <v>45348</v>
      </c>
      <c r="B214">
        <v>10120.400390999999</v>
      </c>
      <c r="C214">
        <v>10157.299805000001</v>
      </c>
      <c r="D214">
        <v>10102.5</v>
      </c>
      <c r="E214">
        <v>10138.400390999999</v>
      </c>
      <c r="F214">
        <v>10138.400390999999</v>
      </c>
      <c r="G214">
        <v>104520800</v>
      </c>
    </row>
    <row r="215" spans="1:7" x14ac:dyDescent="0.2">
      <c r="A215" s="1">
        <v>45349</v>
      </c>
      <c r="B215">
        <v>10111.400390999999</v>
      </c>
      <c r="C215">
        <v>10125.299805000001</v>
      </c>
      <c r="D215">
        <v>10058.400390999999</v>
      </c>
      <c r="E215">
        <v>10113.799805000001</v>
      </c>
      <c r="F215">
        <v>10113.799805000001</v>
      </c>
      <c r="G215">
        <v>110771900</v>
      </c>
    </row>
    <row r="216" spans="1:7" x14ac:dyDescent="0.2">
      <c r="A216" s="1">
        <v>45350</v>
      </c>
      <c r="B216">
        <v>10096.799805000001</v>
      </c>
      <c r="C216">
        <v>10127.099609000001</v>
      </c>
      <c r="D216">
        <v>10028.900390999999</v>
      </c>
      <c r="E216">
        <v>10068.599609000001</v>
      </c>
      <c r="F216">
        <v>10068.599609000001</v>
      </c>
      <c r="G216">
        <v>128594200</v>
      </c>
    </row>
    <row r="217" spans="1:7" x14ac:dyDescent="0.2">
      <c r="A217" s="1">
        <v>45351</v>
      </c>
      <c r="B217">
        <v>10054.799805000001</v>
      </c>
      <c r="C217">
        <v>10095.700194999999</v>
      </c>
      <c r="D217">
        <v>10001</v>
      </c>
      <c r="E217">
        <v>10001.299805000001</v>
      </c>
      <c r="F217">
        <v>10001.299805000001</v>
      </c>
      <c r="G217">
        <v>340767500</v>
      </c>
    </row>
    <row r="218" spans="1:7" x14ac:dyDescent="0.2">
      <c r="A218" s="1">
        <v>45352</v>
      </c>
      <c r="B218">
        <v>10015</v>
      </c>
      <c r="C218">
        <v>10108</v>
      </c>
      <c r="D218">
        <v>10008.799805000001</v>
      </c>
      <c r="E218">
        <v>10064.700194999999</v>
      </c>
      <c r="F218">
        <v>10064.700194999999</v>
      </c>
      <c r="G218">
        <v>172079700</v>
      </c>
    </row>
    <row r="219" spans="1:7" x14ac:dyDescent="0.2">
      <c r="A219" s="1">
        <v>45355</v>
      </c>
      <c r="B219">
        <v>10069.599609000001</v>
      </c>
      <c r="C219">
        <v>10084.5</v>
      </c>
      <c r="D219">
        <v>10035.599609000001</v>
      </c>
      <c r="E219">
        <v>10069.799805000001</v>
      </c>
      <c r="F219">
        <v>10069.799805000001</v>
      </c>
      <c r="G219">
        <v>125103700</v>
      </c>
    </row>
    <row r="220" spans="1:7" x14ac:dyDescent="0.2">
      <c r="A220" s="1">
        <v>45356</v>
      </c>
      <c r="B220">
        <v>10060.099609000001</v>
      </c>
      <c r="C220">
        <v>10121.700194999999</v>
      </c>
      <c r="D220">
        <v>10032.099609000001</v>
      </c>
      <c r="E220">
        <v>10117.099609000001</v>
      </c>
      <c r="F220">
        <v>10117.099609000001</v>
      </c>
      <c r="G220">
        <v>132426700</v>
      </c>
    </row>
    <row r="221" spans="1:7" x14ac:dyDescent="0.2">
      <c r="A221" s="1">
        <v>45357</v>
      </c>
      <c r="B221">
        <v>10116</v>
      </c>
      <c r="C221">
        <v>10246.200194999999</v>
      </c>
      <c r="D221">
        <v>10105.5</v>
      </c>
      <c r="E221">
        <v>10197.200194999999</v>
      </c>
      <c r="F221">
        <v>10197.200194999999</v>
      </c>
      <c r="G221">
        <v>182074800</v>
      </c>
    </row>
    <row r="222" spans="1:7" x14ac:dyDescent="0.2">
      <c r="A222" s="1">
        <v>45358</v>
      </c>
      <c r="B222">
        <v>10167.799805000001</v>
      </c>
      <c r="C222">
        <v>10359.200194999999</v>
      </c>
      <c r="D222">
        <v>10164.799805000001</v>
      </c>
      <c r="E222">
        <v>10319.599609000001</v>
      </c>
      <c r="F222">
        <v>10319.599609000001</v>
      </c>
      <c r="G222">
        <v>202030200</v>
      </c>
    </row>
    <row r="223" spans="1:7" x14ac:dyDescent="0.2">
      <c r="A223" s="1">
        <v>45359</v>
      </c>
      <c r="B223">
        <v>10321.200194999999</v>
      </c>
      <c r="C223">
        <v>10366.900390999999</v>
      </c>
      <c r="D223">
        <v>10304.200194999999</v>
      </c>
      <c r="E223">
        <v>10305.700194999999</v>
      </c>
      <c r="F223">
        <v>10305.700194999999</v>
      </c>
      <c r="G223">
        <v>168061400</v>
      </c>
    </row>
    <row r="224" spans="1:7" x14ac:dyDescent="0.2">
      <c r="A224" s="1">
        <v>45362</v>
      </c>
      <c r="B224">
        <v>10280.599609000001</v>
      </c>
      <c r="C224">
        <v>10330.900390999999</v>
      </c>
      <c r="D224">
        <v>10268.900390999999</v>
      </c>
      <c r="E224">
        <v>10325.700194999999</v>
      </c>
      <c r="F224">
        <v>10325.700194999999</v>
      </c>
      <c r="G224">
        <v>149087900</v>
      </c>
    </row>
    <row r="225" spans="1:7" x14ac:dyDescent="0.2">
      <c r="A225" s="1">
        <v>45363</v>
      </c>
      <c r="B225">
        <v>10357.5</v>
      </c>
      <c r="C225">
        <v>10403.200194999999</v>
      </c>
      <c r="D225">
        <v>10342.900390999999</v>
      </c>
      <c r="E225">
        <v>10388.900390999999</v>
      </c>
      <c r="F225">
        <v>10388.900390999999</v>
      </c>
      <c r="G225">
        <v>185340700</v>
      </c>
    </row>
    <row r="226" spans="1:7" x14ac:dyDescent="0.2">
      <c r="A226" s="1">
        <v>45364</v>
      </c>
      <c r="B226">
        <v>10436.299805000001</v>
      </c>
      <c r="C226">
        <v>10594.099609000001</v>
      </c>
      <c r="D226">
        <v>10431.799805000001</v>
      </c>
      <c r="E226">
        <v>10560.5</v>
      </c>
      <c r="F226">
        <v>10560.5</v>
      </c>
      <c r="G226">
        <v>169503900</v>
      </c>
    </row>
    <row r="227" spans="1:7" x14ac:dyDescent="0.2">
      <c r="A227" s="1">
        <v>45365</v>
      </c>
      <c r="B227">
        <v>10567.400390999999</v>
      </c>
      <c r="C227">
        <v>10606.900390999999</v>
      </c>
      <c r="D227">
        <v>10476.5</v>
      </c>
      <c r="E227">
        <v>10490.5</v>
      </c>
      <c r="F227">
        <v>10490.5</v>
      </c>
      <c r="G227">
        <v>160547200</v>
      </c>
    </row>
    <row r="228" spans="1:7" x14ac:dyDescent="0.2">
      <c r="A228" s="1">
        <v>45366</v>
      </c>
      <c r="B228">
        <v>10490</v>
      </c>
      <c r="C228">
        <v>10640.799805000001</v>
      </c>
      <c r="D228">
        <v>10489.700194999999</v>
      </c>
      <c r="E228">
        <v>10597.900390999999</v>
      </c>
      <c r="F228">
        <v>10597.900390999999</v>
      </c>
      <c r="G228">
        <v>487575600</v>
      </c>
    </row>
    <row r="229" spans="1:7" x14ac:dyDescent="0.2">
      <c r="A229" s="1">
        <v>45369</v>
      </c>
      <c r="B229">
        <v>10597.099609000001</v>
      </c>
      <c r="C229">
        <v>10657</v>
      </c>
      <c r="D229">
        <v>10576.599609000001</v>
      </c>
      <c r="E229">
        <v>10596.700194999999</v>
      </c>
      <c r="F229">
        <v>10596.700194999999</v>
      </c>
      <c r="G229">
        <v>145580000</v>
      </c>
    </row>
    <row r="230" spans="1:7" x14ac:dyDescent="0.2">
      <c r="A230" s="1">
        <v>45370</v>
      </c>
      <c r="B230">
        <v>10604.599609000001</v>
      </c>
      <c r="C230">
        <v>10711.599609000001</v>
      </c>
      <c r="D230">
        <v>10589.799805000001</v>
      </c>
      <c r="E230">
        <v>10701.400390999999</v>
      </c>
      <c r="F230">
        <v>10701.400390999999</v>
      </c>
      <c r="G230">
        <v>138362500</v>
      </c>
    </row>
    <row r="231" spans="1:7" x14ac:dyDescent="0.2">
      <c r="A231" s="1">
        <v>45371</v>
      </c>
      <c r="B231">
        <v>10699.900390999999</v>
      </c>
      <c r="C231">
        <v>10752.5</v>
      </c>
      <c r="D231">
        <v>10680.299805000001</v>
      </c>
      <c r="E231">
        <v>10752.5</v>
      </c>
      <c r="F231">
        <v>10752.5</v>
      </c>
      <c r="G231">
        <v>142721700</v>
      </c>
    </row>
    <row r="232" spans="1:7" x14ac:dyDescent="0.2">
      <c r="A232" s="1">
        <v>45372</v>
      </c>
      <c r="B232">
        <v>10820.799805000001</v>
      </c>
      <c r="C232">
        <v>10931.700194999999</v>
      </c>
      <c r="D232">
        <v>10817.900390999999</v>
      </c>
      <c r="E232">
        <v>10867.5</v>
      </c>
      <c r="F232">
        <v>10867.5</v>
      </c>
      <c r="G232">
        <v>186540700</v>
      </c>
    </row>
    <row r="233" spans="1:7" x14ac:dyDescent="0.2">
      <c r="A233" s="1">
        <v>45373</v>
      </c>
      <c r="B233">
        <v>10856.900390999999</v>
      </c>
      <c r="C233">
        <v>10963.900390999999</v>
      </c>
      <c r="D233">
        <v>10846.700194999999</v>
      </c>
      <c r="E233">
        <v>10943.200194999999</v>
      </c>
      <c r="F233">
        <v>10943.200194999999</v>
      </c>
      <c r="G233">
        <v>170404400</v>
      </c>
    </row>
    <row r="234" spans="1:7" x14ac:dyDescent="0.2">
      <c r="A234" s="1">
        <v>45376</v>
      </c>
      <c r="B234">
        <v>10918</v>
      </c>
      <c r="C234">
        <v>10986</v>
      </c>
      <c r="D234">
        <v>10911.5</v>
      </c>
      <c r="E234">
        <v>10952.200194999999</v>
      </c>
      <c r="F234">
        <v>10952.200194999999</v>
      </c>
      <c r="G234">
        <v>131499600</v>
      </c>
    </row>
    <row r="235" spans="1:7" x14ac:dyDescent="0.2">
      <c r="A235" s="1">
        <v>45377</v>
      </c>
      <c r="B235">
        <v>10965.299805000001</v>
      </c>
      <c r="C235">
        <v>11008.5</v>
      </c>
      <c r="D235">
        <v>10950.200194999999</v>
      </c>
      <c r="E235">
        <v>10991.5</v>
      </c>
      <c r="F235">
        <v>10991.5</v>
      </c>
      <c r="G235">
        <v>139644100</v>
      </c>
    </row>
    <row r="236" spans="1:7" x14ac:dyDescent="0.2">
      <c r="A236" s="1">
        <v>45378</v>
      </c>
      <c r="B236">
        <v>11007.5</v>
      </c>
      <c r="C236">
        <v>11140.099609000001</v>
      </c>
      <c r="D236">
        <v>11000.799805000001</v>
      </c>
      <c r="E236">
        <v>11111.299805000001</v>
      </c>
      <c r="F236">
        <v>11111.299805000001</v>
      </c>
      <c r="G236">
        <v>181418900</v>
      </c>
    </row>
    <row r="237" spans="1:7" x14ac:dyDescent="0.2">
      <c r="A237" s="1">
        <v>45379</v>
      </c>
      <c r="B237">
        <v>11075.700194999999</v>
      </c>
      <c r="C237">
        <v>11105.599609000001</v>
      </c>
      <c r="D237">
        <v>11057.400390999999</v>
      </c>
      <c r="E237">
        <v>11074.599609000001</v>
      </c>
      <c r="F237">
        <v>11074.599609000001</v>
      </c>
      <c r="G237">
        <v>182530200</v>
      </c>
    </row>
    <row r="238" spans="1:7" x14ac:dyDescent="0.2">
      <c r="A238" s="1">
        <v>45384</v>
      </c>
      <c r="B238">
        <v>11034.599609000001</v>
      </c>
      <c r="C238">
        <v>11095.5</v>
      </c>
      <c r="D238">
        <v>10953.900390999999</v>
      </c>
      <c r="E238">
        <v>10975.599609000001</v>
      </c>
      <c r="F238">
        <v>10975.599609000001</v>
      </c>
      <c r="G238">
        <v>157049100</v>
      </c>
    </row>
    <row r="239" spans="1:7" x14ac:dyDescent="0.2">
      <c r="A239" s="1">
        <v>45385</v>
      </c>
      <c r="B239">
        <v>10981.099609000001</v>
      </c>
      <c r="C239">
        <v>11052.799805000001</v>
      </c>
      <c r="D239">
        <v>10959.400390999999</v>
      </c>
      <c r="E239">
        <v>11032.299805000001</v>
      </c>
      <c r="F239">
        <v>11032.299805000001</v>
      </c>
      <c r="G239">
        <v>143750000</v>
      </c>
    </row>
    <row r="240" spans="1:7" x14ac:dyDescent="0.2">
      <c r="A240" s="1">
        <v>45386</v>
      </c>
      <c r="B240">
        <v>11049.5</v>
      </c>
      <c r="C240">
        <v>11111.200194999999</v>
      </c>
      <c r="D240">
        <v>11042</v>
      </c>
      <c r="E240">
        <v>11090.900390999999</v>
      </c>
      <c r="F240">
        <v>11090.900390999999</v>
      </c>
      <c r="G240">
        <v>167469700</v>
      </c>
    </row>
    <row r="241" spans="1:7" x14ac:dyDescent="0.2">
      <c r="A241" s="1">
        <v>45387</v>
      </c>
      <c r="B241">
        <v>10967.400390999999</v>
      </c>
      <c r="C241">
        <v>11000.200194999999</v>
      </c>
      <c r="D241">
        <v>10879.900390999999</v>
      </c>
      <c r="E241">
        <v>10916</v>
      </c>
      <c r="F241">
        <v>10916</v>
      </c>
      <c r="G241">
        <v>198548000</v>
      </c>
    </row>
    <row r="242" spans="1:7" x14ac:dyDescent="0.2">
      <c r="A242" s="1">
        <v>45390</v>
      </c>
      <c r="B242">
        <v>10864.200194999999</v>
      </c>
      <c r="C242">
        <v>10932.299805000001</v>
      </c>
      <c r="D242">
        <v>10846</v>
      </c>
      <c r="E242">
        <v>10911.799805000001</v>
      </c>
      <c r="F242">
        <v>10911.799805000001</v>
      </c>
      <c r="G242">
        <v>125829800</v>
      </c>
    </row>
    <row r="243" spans="1:7" x14ac:dyDescent="0.2">
      <c r="A243" s="1">
        <v>45391</v>
      </c>
      <c r="B243">
        <v>10909.099609000001</v>
      </c>
      <c r="C243">
        <v>10909.099609000001</v>
      </c>
      <c r="D243">
        <v>10809.5</v>
      </c>
      <c r="E243">
        <v>10816</v>
      </c>
      <c r="F243">
        <v>10816</v>
      </c>
      <c r="G243">
        <v>139504300</v>
      </c>
    </row>
    <row r="244" spans="1:7" x14ac:dyDescent="0.2">
      <c r="A244" s="1">
        <v>45392</v>
      </c>
      <c r="B244">
        <v>10863.299805000001</v>
      </c>
      <c r="C244">
        <v>10879.200194999999</v>
      </c>
      <c r="D244">
        <v>10697.400390999999</v>
      </c>
      <c r="E244">
        <v>10775</v>
      </c>
      <c r="F244">
        <v>10775</v>
      </c>
      <c r="G244">
        <v>149227000</v>
      </c>
    </row>
    <row r="245" spans="1:7" x14ac:dyDescent="0.2">
      <c r="A245" s="1">
        <v>45393</v>
      </c>
      <c r="B245">
        <v>10761</v>
      </c>
      <c r="C245">
        <v>10782.599609000001</v>
      </c>
      <c r="D245">
        <v>10591.400390999999</v>
      </c>
      <c r="E245">
        <v>10649.799805000001</v>
      </c>
      <c r="F245">
        <v>10649.799805000001</v>
      </c>
      <c r="G245">
        <v>183036500</v>
      </c>
    </row>
    <row r="246" spans="1:7" x14ac:dyDescent="0.2">
      <c r="A246" s="1">
        <v>45394</v>
      </c>
      <c r="B246">
        <v>10707.700194999999</v>
      </c>
      <c r="C246">
        <v>10781.599609000001</v>
      </c>
      <c r="D246">
        <v>10660.700194999999</v>
      </c>
      <c r="E246">
        <v>10686</v>
      </c>
      <c r="F246">
        <v>10686</v>
      </c>
      <c r="G246">
        <v>154049100</v>
      </c>
    </row>
    <row r="247" spans="1:7" x14ac:dyDescent="0.2">
      <c r="A247" s="1">
        <v>45397</v>
      </c>
      <c r="B247">
        <v>10668.700194999999</v>
      </c>
      <c r="C247">
        <v>10750.200194999999</v>
      </c>
      <c r="D247">
        <v>10660.200194999999</v>
      </c>
      <c r="E247">
        <v>10687.200194999999</v>
      </c>
      <c r="F247">
        <v>10687.200194999999</v>
      </c>
      <c r="G247">
        <v>144065900</v>
      </c>
    </row>
    <row r="248" spans="1:7" x14ac:dyDescent="0.2">
      <c r="A248" s="1">
        <v>45398</v>
      </c>
      <c r="B248">
        <v>10575.799805000001</v>
      </c>
      <c r="C248">
        <v>10605.5</v>
      </c>
      <c r="D248">
        <v>10499.200194999999</v>
      </c>
      <c r="E248">
        <v>10526.900390999999</v>
      </c>
      <c r="F248">
        <v>10526.900390999999</v>
      </c>
      <c r="G248">
        <v>169501300</v>
      </c>
    </row>
    <row r="249" spans="1:7" x14ac:dyDescent="0.2">
      <c r="A249" s="1">
        <v>45399</v>
      </c>
      <c r="B249">
        <v>10532</v>
      </c>
      <c r="C249">
        <v>10704.200194999999</v>
      </c>
      <c r="D249">
        <v>10530</v>
      </c>
      <c r="E249">
        <v>10633.900390999999</v>
      </c>
      <c r="F249">
        <v>10633.900390999999</v>
      </c>
      <c r="G249">
        <v>120116300</v>
      </c>
    </row>
    <row r="250" spans="1:7" x14ac:dyDescent="0.2">
      <c r="A250" s="1">
        <v>45400</v>
      </c>
      <c r="B250">
        <v>10694.900390999999</v>
      </c>
      <c r="C250">
        <v>10776.299805000001</v>
      </c>
      <c r="D250">
        <v>10686.200194999999</v>
      </c>
      <c r="E250">
        <v>10765</v>
      </c>
      <c r="F250">
        <v>10765</v>
      </c>
      <c r="G250">
        <v>164337900</v>
      </c>
    </row>
    <row r="251" spans="1:7" x14ac:dyDescent="0.2">
      <c r="A251" s="1">
        <v>45401</v>
      </c>
      <c r="B251">
        <v>10680.099609000001</v>
      </c>
      <c r="C251">
        <v>10747.099609000001</v>
      </c>
      <c r="D251">
        <v>10611.900390999999</v>
      </c>
      <c r="E251">
        <v>10729.5</v>
      </c>
      <c r="F251">
        <v>10729.5</v>
      </c>
      <c r="G251">
        <v>204551500</v>
      </c>
    </row>
    <row r="252" spans="1:7" x14ac:dyDescent="0.2">
      <c r="A252" s="1">
        <v>45404</v>
      </c>
      <c r="B252">
        <v>10818.900390999999</v>
      </c>
      <c r="C252">
        <v>10895.799805000001</v>
      </c>
      <c r="D252">
        <v>10783.900390999999</v>
      </c>
      <c r="E252">
        <v>10890.200194999999</v>
      </c>
      <c r="F252">
        <v>10890.200194999999</v>
      </c>
      <c r="G252">
        <v>140903400</v>
      </c>
    </row>
    <row r="253" spans="1:7" x14ac:dyDescent="0.2">
      <c r="A253" s="1">
        <v>45405</v>
      </c>
      <c r="B253">
        <v>10927.799805000001</v>
      </c>
      <c r="C253">
        <v>11080</v>
      </c>
      <c r="D253">
        <v>10924.299805000001</v>
      </c>
      <c r="E253">
        <v>11075.400390999999</v>
      </c>
      <c r="F253">
        <v>11075.400390999999</v>
      </c>
      <c r="G253">
        <v>156006800</v>
      </c>
    </row>
    <row r="254" spans="1:7" x14ac:dyDescent="0.2">
      <c r="A254" s="1">
        <v>45406</v>
      </c>
      <c r="B254">
        <v>11110</v>
      </c>
      <c r="C254">
        <v>11110</v>
      </c>
      <c r="D254">
        <v>11005</v>
      </c>
      <c r="E254">
        <v>11027.799805000001</v>
      </c>
      <c r="F254">
        <v>11027.799805000001</v>
      </c>
      <c r="G254">
        <v>138502500</v>
      </c>
    </row>
    <row r="255" spans="1:7" x14ac:dyDescent="0.2">
      <c r="A255" s="1">
        <v>45407</v>
      </c>
      <c r="B255">
        <v>11049.099609000001</v>
      </c>
      <c r="C255">
        <v>11095</v>
      </c>
      <c r="D255">
        <v>10887.400390999999</v>
      </c>
      <c r="E255">
        <v>10983.700194999999</v>
      </c>
      <c r="F255">
        <v>10983.700194999999</v>
      </c>
      <c r="G255">
        <v>306290600</v>
      </c>
    </row>
    <row r="256" spans="1:7" x14ac:dyDescent="0.2">
      <c r="A256" s="1">
        <v>45408</v>
      </c>
      <c r="B256">
        <v>11044.5</v>
      </c>
      <c r="C256">
        <v>11168.700194999999</v>
      </c>
      <c r="D256">
        <v>11037</v>
      </c>
      <c r="E256">
        <v>11154.599609000001</v>
      </c>
      <c r="F256">
        <v>11154.599609000001</v>
      </c>
      <c r="G256">
        <v>188579200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6"/>
  <sheetViews>
    <sheetView workbookViewId="0">
      <selection activeCell="F2" sqref="F2:F256"/>
    </sheetView>
  </sheetViews>
  <sheetFormatPr baseColWidth="10" defaultRowHeight="15" x14ac:dyDescent="0.2"/>
  <sheetData>
    <row r="1" spans="1:7" x14ac:dyDescent="0.2">
      <c r="A1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x14ac:dyDescent="0.2">
      <c r="A2" s="1">
        <v>45044</v>
      </c>
      <c r="B2" s="14">
        <v>3.25</v>
      </c>
      <c r="C2" s="14">
        <v>3.2679999999999998</v>
      </c>
      <c r="D2" s="14">
        <v>3.1259999999999999</v>
      </c>
      <c r="E2" s="14">
        <v>3.1865000000000001</v>
      </c>
      <c r="F2" s="14">
        <v>3.1141909999999999</v>
      </c>
      <c r="G2" s="16">
        <v>125395501</v>
      </c>
    </row>
    <row r="3" spans="1:7" x14ac:dyDescent="0.2">
      <c r="A3" s="1">
        <v>45048</v>
      </c>
      <c r="B3" s="14">
        <v>3.1815000000000002</v>
      </c>
      <c r="C3" s="14">
        <v>3.2160000000000002</v>
      </c>
      <c r="D3" s="14">
        <v>3.0935000000000001</v>
      </c>
      <c r="E3" s="14">
        <v>3.1040000000000001</v>
      </c>
      <c r="F3" s="14">
        <v>3.033563</v>
      </c>
      <c r="G3" s="16">
        <v>93505892</v>
      </c>
    </row>
    <row r="4" spans="1:7" x14ac:dyDescent="0.2">
      <c r="A4" s="1">
        <v>45049</v>
      </c>
      <c r="B4" s="14">
        <v>3.1315</v>
      </c>
      <c r="C4" s="14">
        <v>3.1469999999999998</v>
      </c>
      <c r="D4" s="14">
        <v>3.0920000000000001</v>
      </c>
      <c r="E4" s="14">
        <v>3.12</v>
      </c>
      <c r="F4" s="14">
        <v>3.0491999999999999</v>
      </c>
      <c r="G4" s="16">
        <v>141786887</v>
      </c>
    </row>
    <row r="5" spans="1:7" x14ac:dyDescent="0.2">
      <c r="A5" s="1">
        <v>45050</v>
      </c>
      <c r="B5" s="14">
        <v>3.1055000000000001</v>
      </c>
      <c r="C5" s="14">
        <v>3.1244999999999998</v>
      </c>
      <c r="D5" s="14">
        <v>3.0385</v>
      </c>
      <c r="E5" s="14">
        <v>3.0569999999999999</v>
      </c>
      <c r="F5" s="14">
        <v>2.9876299999999998</v>
      </c>
      <c r="G5" s="16">
        <v>61102930</v>
      </c>
    </row>
    <row r="6" spans="1:7" x14ac:dyDescent="0.2">
      <c r="A6" s="1">
        <v>45051</v>
      </c>
      <c r="B6" s="14">
        <v>3.07</v>
      </c>
      <c r="C6" s="14">
        <v>3.1640000000000001</v>
      </c>
      <c r="D6" s="14">
        <v>3.0619999999999998</v>
      </c>
      <c r="E6" s="14">
        <v>3.149</v>
      </c>
      <c r="F6" s="14">
        <v>3.0775420000000002</v>
      </c>
      <c r="G6" s="16">
        <v>67680769</v>
      </c>
    </row>
    <row r="7" spans="1:7" x14ac:dyDescent="0.2">
      <c r="A7" s="1">
        <v>45054</v>
      </c>
      <c r="B7" s="14">
        <v>3.1635</v>
      </c>
      <c r="C7" s="14">
        <v>3.2075</v>
      </c>
      <c r="D7" s="14">
        <v>3.1595</v>
      </c>
      <c r="E7" s="14">
        <v>3.1869999999999998</v>
      </c>
      <c r="F7" s="14">
        <v>3.1146799999999999</v>
      </c>
      <c r="G7" s="16">
        <v>16677302</v>
      </c>
    </row>
    <row r="8" spans="1:7" x14ac:dyDescent="0.2">
      <c r="A8" s="1">
        <v>45055</v>
      </c>
      <c r="B8" s="14">
        <v>3.1715</v>
      </c>
      <c r="C8" s="14">
        <v>3.206</v>
      </c>
      <c r="D8" s="14">
        <v>3.1469999999999998</v>
      </c>
      <c r="E8" s="14">
        <v>3.1850000000000001</v>
      </c>
      <c r="F8" s="14">
        <v>3.1127250000000002</v>
      </c>
      <c r="G8" s="16">
        <v>23043855</v>
      </c>
    </row>
    <row r="9" spans="1:7" x14ac:dyDescent="0.2">
      <c r="A9" s="1">
        <v>45056</v>
      </c>
      <c r="B9" s="14">
        <v>3.2120000000000002</v>
      </c>
      <c r="C9" s="14">
        <v>3.2345000000000002</v>
      </c>
      <c r="D9" s="14">
        <v>3.1349999999999998</v>
      </c>
      <c r="E9" s="14">
        <v>3.1435</v>
      </c>
      <c r="F9" s="14">
        <v>3.0721669999999999</v>
      </c>
      <c r="G9" s="16">
        <v>27350971</v>
      </c>
    </row>
    <row r="10" spans="1:7" x14ac:dyDescent="0.2">
      <c r="A10" s="1">
        <v>45057</v>
      </c>
      <c r="B10" s="14">
        <v>3.1539999999999999</v>
      </c>
      <c r="C10" s="14">
        <v>3.1680000000000001</v>
      </c>
      <c r="D10" s="14">
        <v>3.0830000000000002</v>
      </c>
      <c r="E10" s="14">
        <v>3.1389999999999998</v>
      </c>
      <c r="F10" s="14">
        <v>3.0677690000000002</v>
      </c>
      <c r="G10" s="16">
        <v>29663864</v>
      </c>
    </row>
    <row r="11" spans="1:7" x14ac:dyDescent="0.2">
      <c r="A11" s="1">
        <v>45058</v>
      </c>
      <c r="B11" s="14">
        <v>3.1555</v>
      </c>
      <c r="C11" s="14">
        <v>3.1804999999999999</v>
      </c>
      <c r="D11" s="14">
        <v>3.1389999999999998</v>
      </c>
      <c r="E11" s="14">
        <v>3.1425000000000001</v>
      </c>
      <c r="F11" s="14">
        <v>3.0711889999999999</v>
      </c>
      <c r="G11" s="16">
        <v>23564547</v>
      </c>
    </row>
    <row r="12" spans="1:7" x14ac:dyDescent="0.2">
      <c r="A12" s="1">
        <v>45061</v>
      </c>
      <c r="B12" s="14">
        <v>3.17</v>
      </c>
      <c r="C12" s="14">
        <v>3.1775000000000002</v>
      </c>
      <c r="D12" s="14">
        <v>3.1194999999999999</v>
      </c>
      <c r="E12" s="14">
        <v>3.1480000000000001</v>
      </c>
      <c r="F12" s="14">
        <v>3.076565</v>
      </c>
      <c r="G12" s="16">
        <v>17650166</v>
      </c>
    </row>
    <row r="13" spans="1:7" x14ac:dyDescent="0.2">
      <c r="A13" s="1">
        <v>45062</v>
      </c>
      <c r="B13" s="14">
        <v>3.1175000000000002</v>
      </c>
      <c r="C13" s="14">
        <v>3.1739999999999999</v>
      </c>
      <c r="D13" s="14">
        <v>3.1175000000000002</v>
      </c>
      <c r="E13" s="14">
        <v>3.1395</v>
      </c>
      <c r="F13" s="14">
        <v>3.0682580000000002</v>
      </c>
      <c r="G13" s="16">
        <v>17437130</v>
      </c>
    </row>
    <row r="14" spans="1:7" x14ac:dyDescent="0.2">
      <c r="A14" s="1">
        <v>45063</v>
      </c>
      <c r="B14" s="14">
        <v>3.11</v>
      </c>
      <c r="C14" s="14">
        <v>3.1579999999999999</v>
      </c>
      <c r="D14" s="14">
        <v>3.1019999999999999</v>
      </c>
      <c r="E14" s="14">
        <v>3.1579999999999999</v>
      </c>
      <c r="F14" s="14">
        <v>3.086338</v>
      </c>
      <c r="G14" s="16">
        <v>17768701</v>
      </c>
    </row>
    <row r="15" spans="1:7" x14ac:dyDescent="0.2">
      <c r="A15" s="1">
        <v>45064</v>
      </c>
      <c r="B15" s="14">
        <v>3.1395</v>
      </c>
      <c r="C15" s="14">
        <v>3.1964999999999999</v>
      </c>
      <c r="D15" s="14">
        <v>3.1355</v>
      </c>
      <c r="E15" s="14">
        <v>3.1755</v>
      </c>
      <c r="F15" s="14">
        <v>3.1034410000000001</v>
      </c>
      <c r="G15" s="16">
        <v>24923291</v>
      </c>
    </row>
    <row r="16" spans="1:7" x14ac:dyDescent="0.2">
      <c r="A16" s="1">
        <v>45065</v>
      </c>
      <c r="B16" s="14">
        <v>3.1985000000000001</v>
      </c>
      <c r="C16" s="14">
        <v>3.24</v>
      </c>
      <c r="D16" s="14">
        <v>3.173</v>
      </c>
      <c r="E16" s="14">
        <v>3.2</v>
      </c>
      <c r="F16" s="14">
        <v>3.1273849999999999</v>
      </c>
      <c r="G16" s="16">
        <v>54179289</v>
      </c>
    </row>
    <row r="17" spans="1:7" x14ac:dyDescent="0.2">
      <c r="A17" s="1">
        <v>45068</v>
      </c>
      <c r="B17" s="14">
        <v>3.1819999999999999</v>
      </c>
      <c r="C17" s="14">
        <v>3.2475000000000001</v>
      </c>
      <c r="D17" s="14">
        <v>3.1785000000000001</v>
      </c>
      <c r="E17" s="14">
        <v>3.2294999999999998</v>
      </c>
      <c r="F17" s="14">
        <v>3.156215</v>
      </c>
      <c r="G17" s="16">
        <v>20330420</v>
      </c>
    </row>
    <row r="18" spans="1:7" x14ac:dyDescent="0.2">
      <c r="A18" s="1">
        <v>45069</v>
      </c>
      <c r="B18" s="14">
        <v>3.2290000000000001</v>
      </c>
      <c r="C18" s="14">
        <v>3.2330000000000001</v>
      </c>
      <c r="D18" s="14">
        <v>3.2010000000000001</v>
      </c>
      <c r="E18" s="14">
        <v>3.2250000000000001</v>
      </c>
      <c r="F18" s="14">
        <v>3.1518169999999999</v>
      </c>
      <c r="G18" s="16">
        <v>15538892</v>
      </c>
    </row>
    <row r="19" spans="1:7" x14ac:dyDescent="0.2">
      <c r="A19" s="1">
        <v>45070</v>
      </c>
      <c r="B19" s="14">
        <v>3.1930000000000001</v>
      </c>
      <c r="C19" s="14">
        <v>3.202</v>
      </c>
      <c r="D19" s="14">
        <v>3.1280000000000001</v>
      </c>
      <c r="E19" s="14">
        <v>3.1415000000000002</v>
      </c>
      <c r="F19" s="14">
        <v>3.0702120000000002</v>
      </c>
      <c r="G19" s="16">
        <v>24533674</v>
      </c>
    </row>
    <row r="20" spans="1:7" x14ac:dyDescent="0.2">
      <c r="A20" s="1">
        <v>45071</v>
      </c>
      <c r="B20" s="14">
        <v>3.1320000000000001</v>
      </c>
      <c r="C20" s="14">
        <v>3.1705000000000001</v>
      </c>
      <c r="D20" s="14">
        <v>3.0865</v>
      </c>
      <c r="E20" s="14">
        <v>3.1549999999999998</v>
      </c>
      <c r="F20" s="14">
        <v>3.0834060000000001</v>
      </c>
      <c r="G20" s="16">
        <v>35511664</v>
      </c>
    </row>
    <row r="21" spans="1:7" x14ac:dyDescent="0.2">
      <c r="A21" s="1">
        <v>45072</v>
      </c>
      <c r="B21" s="14">
        <v>3.1665000000000001</v>
      </c>
      <c r="C21" s="14">
        <v>3.1989999999999998</v>
      </c>
      <c r="D21" s="14">
        <v>3.0865</v>
      </c>
      <c r="E21" s="14">
        <v>3.1970000000000001</v>
      </c>
      <c r="F21" s="14">
        <v>3.1244529999999999</v>
      </c>
      <c r="G21" s="16">
        <v>22852653</v>
      </c>
    </row>
    <row r="22" spans="1:7" x14ac:dyDescent="0.2">
      <c r="A22" s="1">
        <v>45075</v>
      </c>
      <c r="B22" s="14">
        <v>3.2349999999999999</v>
      </c>
      <c r="C22" s="14">
        <v>3.2370000000000001</v>
      </c>
      <c r="D22" s="14">
        <v>3.1230000000000002</v>
      </c>
      <c r="E22" s="14">
        <v>3.1425000000000001</v>
      </c>
      <c r="F22" s="14">
        <v>3.0711889999999999</v>
      </c>
      <c r="G22" s="16">
        <v>13799208</v>
      </c>
    </row>
    <row r="23" spans="1:7" x14ac:dyDescent="0.2">
      <c r="A23" s="1">
        <v>45076</v>
      </c>
      <c r="B23" s="14">
        <v>3.14</v>
      </c>
      <c r="C23" s="14">
        <v>3.18</v>
      </c>
      <c r="D23" s="14">
        <v>3.0954999999999999</v>
      </c>
      <c r="E23" s="14">
        <v>3.1105</v>
      </c>
      <c r="F23" s="14">
        <v>3.0399159999999998</v>
      </c>
      <c r="G23" s="16">
        <v>28045978</v>
      </c>
    </row>
    <row r="24" spans="1:7" x14ac:dyDescent="0.2">
      <c r="A24" s="1">
        <v>45077</v>
      </c>
      <c r="B24" s="14">
        <v>3.08</v>
      </c>
      <c r="C24" s="14">
        <v>3.14</v>
      </c>
      <c r="D24" s="14">
        <v>3.0405000000000002</v>
      </c>
      <c r="E24" s="14">
        <v>3.0449999999999999</v>
      </c>
      <c r="F24" s="14">
        <v>2.975902</v>
      </c>
      <c r="G24" s="16">
        <v>69180578</v>
      </c>
    </row>
    <row r="25" spans="1:7" x14ac:dyDescent="0.2">
      <c r="A25" s="1">
        <v>45078</v>
      </c>
      <c r="B25" s="14">
        <v>3.0844999999999998</v>
      </c>
      <c r="C25" s="14">
        <v>3.125</v>
      </c>
      <c r="D25" s="14">
        <v>3.0710000000000002</v>
      </c>
      <c r="E25" s="14">
        <v>3.1145</v>
      </c>
      <c r="F25" s="14">
        <v>3.043825</v>
      </c>
      <c r="G25" s="16">
        <v>23998491</v>
      </c>
    </row>
    <row r="26" spans="1:7" x14ac:dyDescent="0.2">
      <c r="A26" s="1">
        <v>45079</v>
      </c>
      <c r="B26" s="14">
        <v>3.14</v>
      </c>
      <c r="C26" s="14">
        <v>3.2204999999999999</v>
      </c>
      <c r="D26" s="14">
        <v>3.1179999999999999</v>
      </c>
      <c r="E26" s="14">
        <v>3.21</v>
      </c>
      <c r="F26" s="14">
        <v>3.1371579999999999</v>
      </c>
      <c r="G26" s="16">
        <v>26818508</v>
      </c>
    </row>
    <row r="27" spans="1:7" x14ac:dyDescent="0.2">
      <c r="A27" s="1">
        <v>45082</v>
      </c>
      <c r="B27" s="14">
        <v>3.2294999999999998</v>
      </c>
      <c r="C27" s="14">
        <v>3.25</v>
      </c>
      <c r="D27" s="14">
        <v>3.1619999999999999</v>
      </c>
      <c r="E27" s="14">
        <v>3.1829999999999998</v>
      </c>
      <c r="F27" s="14">
        <v>3.1107710000000002</v>
      </c>
      <c r="G27" s="16">
        <v>22412353</v>
      </c>
    </row>
    <row r="28" spans="1:7" x14ac:dyDescent="0.2">
      <c r="A28" s="1">
        <v>45083</v>
      </c>
      <c r="B28" s="14">
        <v>3.1735000000000002</v>
      </c>
      <c r="C28" s="14">
        <v>3.2109999999999999</v>
      </c>
      <c r="D28" s="14">
        <v>3.1425000000000001</v>
      </c>
      <c r="E28" s="14">
        <v>3.2090000000000001</v>
      </c>
      <c r="F28" s="14">
        <v>3.1361810000000001</v>
      </c>
      <c r="G28" s="16">
        <v>20810145</v>
      </c>
    </row>
    <row r="29" spans="1:7" x14ac:dyDescent="0.2">
      <c r="A29" s="1">
        <v>45084</v>
      </c>
      <c r="B29" s="14">
        <v>3.2250000000000001</v>
      </c>
      <c r="C29" s="14">
        <v>3.2450000000000001</v>
      </c>
      <c r="D29" s="14">
        <v>3.1724999999999999</v>
      </c>
      <c r="E29" s="14">
        <v>3.2109999999999999</v>
      </c>
      <c r="F29" s="14">
        <v>3.1381350000000001</v>
      </c>
      <c r="G29" s="16">
        <v>17772409</v>
      </c>
    </row>
    <row r="30" spans="1:7" x14ac:dyDescent="0.2">
      <c r="A30" s="1">
        <v>45085</v>
      </c>
      <c r="B30" s="14">
        <v>3.2355</v>
      </c>
      <c r="C30" s="14">
        <v>3.27</v>
      </c>
      <c r="D30" s="14">
        <v>3.2004999999999999</v>
      </c>
      <c r="E30" s="14">
        <v>3.2269999999999999</v>
      </c>
      <c r="F30" s="14">
        <v>3.153772</v>
      </c>
      <c r="G30" s="16">
        <v>22981423</v>
      </c>
    </row>
    <row r="31" spans="1:7" x14ac:dyDescent="0.2">
      <c r="A31" s="1">
        <v>45086</v>
      </c>
      <c r="B31" s="14">
        <v>3.23</v>
      </c>
      <c r="C31" s="14">
        <v>3.2364999999999999</v>
      </c>
      <c r="D31" s="14">
        <v>3.1680000000000001</v>
      </c>
      <c r="E31" s="14">
        <v>3.2014999999999998</v>
      </c>
      <c r="F31" s="14">
        <v>3.128851</v>
      </c>
      <c r="G31" s="16">
        <v>17889217</v>
      </c>
    </row>
    <row r="32" spans="1:7" x14ac:dyDescent="0.2">
      <c r="A32" s="1">
        <v>45089</v>
      </c>
      <c r="B32" s="14">
        <v>3.2130000000000001</v>
      </c>
      <c r="C32" s="14">
        <v>3.2330000000000001</v>
      </c>
      <c r="D32" s="14">
        <v>3.1619999999999999</v>
      </c>
      <c r="E32" s="14">
        <v>3.1890000000000001</v>
      </c>
      <c r="F32" s="14">
        <v>3.1166339999999999</v>
      </c>
      <c r="G32" s="16">
        <v>41438495</v>
      </c>
    </row>
    <row r="33" spans="1:7" x14ac:dyDescent="0.2">
      <c r="A33" s="1">
        <v>45090</v>
      </c>
      <c r="B33" s="14">
        <v>3.2</v>
      </c>
      <c r="C33" s="14">
        <v>3.206</v>
      </c>
      <c r="D33" s="14">
        <v>3.145</v>
      </c>
      <c r="E33" s="14">
        <v>3.1920000000000002</v>
      </c>
      <c r="F33" s="14">
        <v>3.1195659999999998</v>
      </c>
      <c r="G33" s="16">
        <v>26021976</v>
      </c>
    </row>
    <row r="34" spans="1:7" x14ac:dyDescent="0.2">
      <c r="A34" s="1">
        <v>45091</v>
      </c>
      <c r="B34" s="14">
        <v>3.1920000000000002</v>
      </c>
      <c r="C34" s="14">
        <v>3.2810000000000001</v>
      </c>
      <c r="D34" s="14">
        <v>3.19</v>
      </c>
      <c r="E34" s="14">
        <v>3.25</v>
      </c>
      <c r="F34" s="14">
        <v>3.17625</v>
      </c>
      <c r="G34" s="16">
        <v>36036915</v>
      </c>
    </row>
    <row r="35" spans="1:7" x14ac:dyDescent="0.2">
      <c r="A35" s="1">
        <v>45092</v>
      </c>
      <c r="B35" s="14">
        <v>3.2204999999999999</v>
      </c>
      <c r="C35" s="14">
        <v>3.222</v>
      </c>
      <c r="D35" s="14">
        <v>3.1819999999999999</v>
      </c>
      <c r="E35" s="14">
        <v>3.194</v>
      </c>
      <c r="F35" s="14">
        <v>3.121521</v>
      </c>
      <c r="G35" s="16">
        <v>38630516</v>
      </c>
    </row>
    <row r="36" spans="1:7" x14ac:dyDescent="0.2">
      <c r="A36" s="1">
        <v>45093</v>
      </c>
      <c r="B36" s="14">
        <v>3.21</v>
      </c>
      <c r="C36" s="14">
        <v>3.2549999999999999</v>
      </c>
      <c r="D36" s="14">
        <v>3.1829999999999998</v>
      </c>
      <c r="E36" s="14">
        <v>3.2204999999999999</v>
      </c>
      <c r="F36" s="14">
        <v>3.1474190000000002</v>
      </c>
      <c r="G36" s="16">
        <v>112135601</v>
      </c>
    </row>
    <row r="37" spans="1:7" x14ac:dyDescent="0.2">
      <c r="A37" s="1">
        <v>45096</v>
      </c>
      <c r="B37" s="14">
        <v>3.2</v>
      </c>
      <c r="C37" s="14">
        <v>3.2559999999999998</v>
      </c>
      <c r="D37" s="14">
        <v>3.1960000000000002</v>
      </c>
      <c r="E37" s="14">
        <v>3.2120000000000002</v>
      </c>
      <c r="F37" s="14">
        <v>3.1391119999999999</v>
      </c>
      <c r="G37" s="16">
        <v>17185761</v>
      </c>
    </row>
    <row r="38" spans="1:7" x14ac:dyDescent="0.2">
      <c r="A38" s="1">
        <v>45097</v>
      </c>
      <c r="B38" s="14">
        <v>3.2050000000000001</v>
      </c>
      <c r="C38" s="14">
        <v>3.2204999999999999</v>
      </c>
      <c r="D38" s="14">
        <v>3.1859999999999999</v>
      </c>
      <c r="E38" s="14">
        <v>3.1930000000000001</v>
      </c>
      <c r="F38" s="14">
        <v>3.1205440000000002</v>
      </c>
      <c r="G38" s="16">
        <v>20753360</v>
      </c>
    </row>
    <row r="39" spans="1:7" x14ac:dyDescent="0.2">
      <c r="A39" s="1">
        <v>45098</v>
      </c>
      <c r="B39" s="14">
        <v>3.1964999999999999</v>
      </c>
      <c r="C39" s="14">
        <v>3.2364999999999999</v>
      </c>
      <c r="D39" s="14">
        <v>3.1930000000000001</v>
      </c>
      <c r="E39" s="14">
        <v>3.2040000000000002</v>
      </c>
      <c r="F39" s="14">
        <v>3.131294</v>
      </c>
      <c r="G39" s="16">
        <v>20967493</v>
      </c>
    </row>
    <row r="40" spans="1:7" x14ac:dyDescent="0.2">
      <c r="A40" s="1">
        <v>45099</v>
      </c>
      <c r="B40" s="14">
        <v>3.17</v>
      </c>
      <c r="C40" s="14">
        <v>3.17</v>
      </c>
      <c r="D40" s="14">
        <v>3.1040000000000001</v>
      </c>
      <c r="E40" s="14">
        <v>3.1560000000000001</v>
      </c>
      <c r="F40" s="14">
        <v>3.0843829999999999</v>
      </c>
      <c r="G40" s="16">
        <v>26456612</v>
      </c>
    </row>
    <row r="41" spans="1:7" x14ac:dyDescent="0.2">
      <c r="A41" s="1">
        <v>45100</v>
      </c>
      <c r="B41" s="14">
        <v>3.1230000000000002</v>
      </c>
      <c r="C41" s="14">
        <v>3.137</v>
      </c>
      <c r="D41" s="14">
        <v>3.0655000000000001</v>
      </c>
      <c r="E41" s="14">
        <v>3.0659999999999998</v>
      </c>
      <c r="F41" s="14">
        <v>2.9964249999999999</v>
      </c>
      <c r="G41" s="16">
        <v>46016334</v>
      </c>
    </row>
    <row r="42" spans="1:7" x14ac:dyDescent="0.2">
      <c r="A42" s="1">
        <v>45103</v>
      </c>
      <c r="B42" s="14">
        <v>3.0649999999999999</v>
      </c>
      <c r="C42" s="14">
        <v>3.0979999999999999</v>
      </c>
      <c r="D42" s="14">
        <v>3.0065</v>
      </c>
      <c r="E42" s="14">
        <v>3.0834999999999999</v>
      </c>
      <c r="F42" s="14">
        <v>3.013528</v>
      </c>
      <c r="G42" s="16">
        <v>26657465</v>
      </c>
    </row>
    <row r="43" spans="1:7" x14ac:dyDescent="0.2">
      <c r="A43" s="1">
        <v>45104</v>
      </c>
      <c r="B43" s="14">
        <v>3.11</v>
      </c>
      <c r="C43" s="14">
        <v>3.2014999999999998</v>
      </c>
      <c r="D43" s="14">
        <v>3.11</v>
      </c>
      <c r="E43" s="14">
        <v>3.1955</v>
      </c>
      <c r="F43" s="14">
        <v>3.1229870000000002</v>
      </c>
      <c r="G43" s="16">
        <v>35283059</v>
      </c>
    </row>
    <row r="44" spans="1:7" x14ac:dyDescent="0.2">
      <c r="A44" s="1">
        <v>45105</v>
      </c>
      <c r="B44" s="14">
        <v>3.21</v>
      </c>
      <c r="C44" s="14">
        <v>3.31</v>
      </c>
      <c r="D44" s="14">
        <v>3.2050000000000001</v>
      </c>
      <c r="E44" s="14">
        <v>3.31</v>
      </c>
      <c r="F44" s="14">
        <v>3.2348889999999999</v>
      </c>
      <c r="G44" s="16">
        <v>55703627</v>
      </c>
    </row>
    <row r="45" spans="1:7" x14ac:dyDescent="0.2">
      <c r="A45" s="1">
        <v>45106</v>
      </c>
      <c r="B45" s="14">
        <v>3.32</v>
      </c>
      <c r="C45" s="14">
        <v>3.3490000000000002</v>
      </c>
      <c r="D45" s="14">
        <v>3.3014999999999999</v>
      </c>
      <c r="E45" s="14">
        <v>3.3414999999999999</v>
      </c>
      <c r="F45" s="14">
        <v>3.2656740000000002</v>
      </c>
      <c r="G45" s="16">
        <v>34889161</v>
      </c>
    </row>
    <row r="46" spans="1:7" x14ac:dyDescent="0.2">
      <c r="A46" s="1">
        <v>45107</v>
      </c>
      <c r="B46" s="14">
        <v>3.37</v>
      </c>
      <c r="C46" s="14">
        <v>3.4409999999999998</v>
      </c>
      <c r="D46" s="14">
        <v>3.367</v>
      </c>
      <c r="E46" s="14">
        <v>3.3849999999999998</v>
      </c>
      <c r="F46" s="14">
        <v>3.3081870000000002</v>
      </c>
      <c r="G46" s="16">
        <v>64611012</v>
      </c>
    </row>
    <row r="47" spans="1:7" x14ac:dyDescent="0.2">
      <c r="A47" s="1">
        <v>45110</v>
      </c>
      <c r="B47" s="14">
        <v>3.3944999999999999</v>
      </c>
      <c r="C47" s="14">
        <v>3.4449999999999998</v>
      </c>
      <c r="D47" s="14">
        <v>3.3864999999999998</v>
      </c>
      <c r="E47" s="14">
        <v>3.44</v>
      </c>
      <c r="F47" s="14">
        <v>3.361939</v>
      </c>
      <c r="G47" s="16">
        <v>37876288</v>
      </c>
    </row>
    <row r="48" spans="1:7" x14ac:dyDescent="0.2">
      <c r="A48" s="1">
        <v>45111</v>
      </c>
      <c r="B48" s="14">
        <v>3.4495</v>
      </c>
      <c r="C48" s="14">
        <v>3.47</v>
      </c>
      <c r="D48" s="14">
        <v>3.3719999999999999</v>
      </c>
      <c r="E48" s="14">
        <v>3.3805000000000001</v>
      </c>
      <c r="F48" s="14">
        <v>3.3037890000000001</v>
      </c>
      <c r="G48" s="16">
        <v>23349851</v>
      </c>
    </row>
    <row r="49" spans="1:7" x14ac:dyDescent="0.2">
      <c r="A49" s="1">
        <v>45112</v>
      </c>
      <c r="B49" s="14">
        <v>3.35</v>
      </c>
      <c r="C49" s="14">
        <v>3.3715000000000002</v>
      </c>
      <c r="D49" s="14">
        <v>3.33</v>
      </c>
      <c r="E49" s="14">
        <v>3.3475000000000001</v>
      </c>
      <c r="F49" s="14">
        <v>3.2715380000000001</v>
      </c>
      <c r="G49" s="16">
        <v>24988934</v>
      </c>
    </row>
    <row r="50" spans="1:7" x14ac:dyDescent="0.2">
      <c r="A50" s="1">
        <v>45113</v>
      </c>
      <c r="B50" s="14">
        <v>3.3109999999999999</v>
      </c>
      <c r="C50" s="14">
        <v>3.3195000000000001</v>
      </c>
      <c r="D50" s="14">
        <v>3.2265000000000001</v>
      </c>
      <c r="E50" s="14">
        <v>3.2444999999999999</v>
      </c>
      <c r="F50" s="14">
        <v>3.1708750000000001</v>
      </c>
      <c r="G50" s="16">
        <v>28791137</v>
      </c>
    </row>
    <row r="51" spans="1:7" x14ac:dyDescent="0.2">
      <c r="A51" s="1">
        <v>45114</v>
      </c>
      <c r="B51" s="14">
        <v>3.2444999999999999</v>
      </c>
      <c r="C51" s="14">
        <v>3.2835000000000001</v>
      </c>
      <c r="D51" s="14">
        <v>3.2174999999999998</v>
      </c>
      <c r="E51" s="14">
        <v>3.2639999999999998</v>
      </c>
      <c r="F51" s="14">
        <v>3.1899320000000002</v>
      </c>
      <c r="G51" s="16">
        <v>21310700</v>
      </c>
    </row>
    <row r="52" spans="1:7" x14ac:dyDescent="0.2">
      <c r="A52" s="1">
        <v>45117</v>
      </c>
      <c r="B52" s="14">
        <v>3.2505000000000002</v>
      </c>
      <c r="C52" s="14">
        <v>3.3069999999999999</v>
      </c>
      <c r="D52" s="14">
        <v>3.2505000000000002</v>
      </c>
      <c r="E52" s="14">
        <v>3.2759999999999998</v>
      </c>
      <c r="F52" s="14">
        <v>3.20166</v>
      </c>
      <c r="G52" s="16">
        <v>16123070</v>
      </c>
    </row>
    <row r="53" spans="1:7" x14ac:dyDescent="0.2">
      <c r="A53" s="1">
        <v>45118</v>
      </c>
      <c r="B53" s="14">
        <v>3.29</v>
      </c>
      <c r="C53" s="14">
        <v>3.3380000000000001</v>
      </c>
      <c r="D53" s="14">
        <v>3.2614999999999998</v>
      </c>
      <c r="E53" s="14">
        <v>3.3344999999999998</v>
      </c>
      <c r="F53" s="14">
        <v>3.2588330000000001</v>
      </c>
      <c r="G53" s="16">
        <v>17722005</v>
      </c>
    </row>
    <row r="54" spans="1:7" x14ac:dyDescent="0.2">
      <c r="A54" s="1">
        <v>45119</v>
      </c>
      <c r="B54" s="14">
        <v>3.3424999999999998</v>
      </c>
      <c r="C54" s="14">
        <v>3.4735</v>
      </c>
      <c r="D54" s="14">
        <v>3.3424999999999998</v>
      </c>
      <c r="E54" s="14">
        <v>3.4735</v>
      </c>
      <c r="F54" s="14">
        <v>3.3946779999999999</v>
      </c>
      <c r="G54" s="16">
        <v>57887645</v>
      </c>
    </row>
    <row r="55" spans="1:7" x14ac:dyDescent="0.2">
      <c r="A55" s="1">
        <v>45120</v>
      </c>
      <c r="B55" s="14">
        <v>3.46</v>
      </c>
      <c r="C55" s="14">
        <v>3.5175000000000001</v>
      </c>
      <c r="D55" s="14">
        <v>3.4329999999999998</v>
      </c>
      <c r="E55" s="14">
        <v>3.4904999999999999</v>
      </c>
      <c r="F55" s="14">
        <v>3.4112930000000001</v>
      </c>
      <c r="G55" s="16">
        <v>36329276</v>
      </c>
    </row>
    <row r="56" spans="1:7" x14ac:dyDescent="0.2">
      <c r="A56" s="1">
        <v>45121</v>
      </c>
      <c r="B56" s="14">
        <v>3.49</v>
      </c>
      <c r="C56" s="14">
        <v>3.5339999999999998</v>
      </c>
      <c r="D56" s="14">
        <v>3.456</v>
      </c>
      <c r="E56" s="14">
        <v>3.4605000000000001</v>
      </c>
      <c r="F56" s="14">
        <v>3.381974</v>
      </c>
      <c r="G56" s="16">
        <v>28331703</v>
      </c>
    </row>
    <row r="57" spans="1:7" x14ac:dyDescent="0.2">
      <c r="A57" s="1">
        <v>45124</v>
      </c>
      <c r="B57" s="14">
        <v>3.4384999999999999</v>
      </c>
      <c r="C57" s="14">
        <v>3.5</v>
      </c>
      <c r="D57" s="14">
        <v>3.4205000000000001</v>
      </c>
      <c r="E57" s="14">
        <v>3.4485000000000001</v>
      </c>
      <c r="F57" s="14">
        <v>3.3702459999999999</v>
      </c>
      <c r="G57" s="16">
        <v>15777798</v>
      </c>
    </row>
    <row r="58" spans="1:7" x14ac:dyDescent="0.2">
      <c r="A58" s="1">
        <v>45125</v>
      </c>
      <c r="B58" s="14">
        <v>3.464</v>
      </c>
      <c r="C58" s="14">
        <v>3.5139999999999998</v>
      </c>
      <c r="D58" s="14">
        <v>3.4319999999999999</v>
      </c>
      <c r="E58" s="14">
        <v>3.51</v>
      </c>
      <c r="F58" s="14">
        <v>3.4303499999999998</v>
      </c>
      <c r="G58" s="16">
        <v>17919382</v>
      </c>
    </row>
    <row r="59" spans="1:7" x14ac:dyDescent="0.2">
      <c r="A59" s="1">
        <v>45126</v>
      </c>
      <c r="B59" s="14">
        <v>3.53</v>
      </c>
      <c r="C59" s="14">
        <v>3.5510000000000002</v>
      </c>
      <c r="D59" s="14">
        <v>3.464</v>
      </c>
      <c r="E59" s="14">
        <v>3.4980000000000002</v>
      </c>
      <c r="F59" s="14">
        <v>3.418622</v>
      </c>
      <c r="G59" s="16">
        <v>17841799</v>
      </c>
    </row>
    <row r="60" spans="1:7" x14ac:dyDescent="0.2">
      <c r="A60" s="1">
        <v>45127</v>
      </c>
      <c r="B60" s="14">
        <v>3.4885000000000002</v>
      </c>
      <c r="C60" s="14">
        <v>3.5415000000000001</v>
      </c>
      <c r="D60" s="14">
        <v>3.4860000000000002</v>
      </c>
      <c r="E60" s="14">
        <v>3.5249999999999999</v>
      </c>
      <c r="F60" s="14">
        <v>3.4450099999999999</v>
      </c>
      <c r="G60" s="16">
        <v>22612682</v>
      </c>
    </row>
    <row r="61" spans="1:7" x14ac:dyDescent="0.2">
      <c r="A61" s="1">
        <v>45128</v>
      </c>
      <c r="B61" s="14">
        <v>3.5259999999999998</v>
      </c>
      <c r="C61" s="14">
        <v>3.5474999999999999</v>
      </c>
      <c r="D61" s="14">
        <v>3.4729999999999999</v>
      </c>
      <c r="E61" s="14">
        <v>3.5285000000000002</v>
      </c>
      <c r="F61" s="14">
        <v>3.4484309999999998</v>
      </c>
      <c r="G61" s="16">
        <v>28121501</v>
      </c>
    </row>
    <row r="62" spans="1:7" x14ac:dyDescent="0.2">
      <c r="A62" s="1">
        <v>45131</v>
      </c>
      <c r="B62" s="14">
        <v>3.43</v>
      </c>
      <c r="C62" s="14">
        <v>3.52</v>
      </c>
      <c r="D62" s="14">
        <v>3.4115000000000002</v>
      </c>
      <c r="E62" s="14">
        <v>3.52</v>
      </c>
      <c r="F62" s="14">
        <v>3.4401229999999998</v>
      </c>
      <c r="G62" s="16">
        <v>22717433</v>
      </c>
    </row>
    <row r="63" spans="1:7" x14ac:dyDescent="0.2">
      <c r="A63" s="1">
        <v>45132</v>
      </c>
      <c r="B63" s="14">
        <v>3.53</v>
      </c>
      <c r="C63" s="14">
        <v>3.5470000000000002</v>
      </c>
      <c r="D63" s="14">
        <v>3.51</v>
      </c>
      <c r="E63" s="14">
        <v>3.5379999999999998</v>
      </c>
      <c r="F63" s="14">
        <v>3.4577149999999999</v>
      </c>
      <c r="G63" s="16">
        <v>17151031</v>
      </c>
    </row>
    <row r="64" spans="1:7" x14ac:dyDescent="0.2">
      <c r="A64" s="1">
        <v>45133</v>
      </c>
      <c r="B64" s="14">
        <v>3.5379999999999998</v>
      </c>
      <c r="C64" s="14">
        <v>3.6549999999999998</v>
      </c>
      <c r="D64" s="14">
        <v>3.5129999999999999</v>
      </c>
      <c r="E64" s="14">
        <v>3.649</v>
      </c>
      <c r="F64" s="14">
        <v>3.5661960000000001</v>
      </c>
      <c r="G64" s="16">
        <v>68036296</v>
      </c>
    </row>
    <row r="65" spans="1:7" x14ac:dyDescent="0.2">
      <c r="A65" s="1">
        <v>45134</v>
      </c>
      <c r="B65" s="14">
        <v>3.6549999999999998</v>
      </c>
      <c r="C65" s="14">
        <v>3.7189999999999999</v>
      </c>
      <c r="D65" s="14">
        <v>3.6150000000000002</v>
      </c>
      <c r="E65" s="14">
        <v>3.7080000000000002</v>
      </c>
      <c r="F65" s="14">
        <v>3.6238570000000001</v>
      </c>
      <c r="G65" s="16">
        <v>75696611</v>
      </c>
    </row>
    <row r="66" spans="1:7" x14ac:dyDescent="0.2">
      <c r="A66" s="1">
        <v>45135</v>
      </c>
      <c r="B66" s="14">
        <v>3.6924999999999999</v>
      </c>
      <c r="C66" s="14">
        <v>3.742</v>
      </c>
      <c r="D66" s="14">
        <v>3.6524999999999999</v>
      </c>
      <c r="E66" s="14">
        <v>3.6775000000000002</v>
      </c>
      <c r="F66" s="14">
        <v>3.594049</v>
      </c>
      <c r="G66" s="16">
        <v>42564955</v>
      </c>
    </row>
    <row r="67" spans="1:7" x14ac:dyDescent="0.2">
      <c r="A67" s="1">
        <v>45138</v>
      </c>
      <c r="B67" s="14">
        <v>3.6865000000000001</v>
      </c>
      <c r="C67" s="14">
        <v>3.7080000000000002</v>
      </c>
      <c r="D67" s="14">
        <v>3.6749999999999998</v>
      </c>
      <c r="E67" s="14">
        <v>3.6835</v>
      </c>
      <c r="F67" s="14">
        <v>3.5999129999999999</v>
      </c>
      <c r="G67" s="16">
        <v>24836675</v>
      </c>
    </row>
    <row r="68" spans="1:7" x14ac:dyDescent="0.2">
      <c r="A68" s="1">
        <v>45139</v>
      </c>
      <c r="B68" s="14">
        <v>3.6785000000000001</v>
      </c>
      <c r="C68" s="14">
        <v>3.698</v>
      </c>
      <c r="D68" s="14">
        <v>3.5880000000000001</v>
      </c>
      <c r="E68" s="14">
        <v>3.5990000000000002</v>
      </c>
      <c r="F68" s="14">
        <v>3.5173299999999998</v>
      </c>
      <c r="G68" s="16">
        <v>23019304</v>
      </c>
    </row>
    <row r="69" spans="1:7" x14ac:dyDescent="0.2">
      <c r="A69" s="1">
        <v>45140</v>
      </c>
      <c r="B69" s="14">
        <v>3.5419999999999998</v>
      </c>
      <c r="C69" s="14">
        <v>3.5840000000000001</v>
      </c>
      <c r="D69" s="14">
        <v>3.5049999999999999</v>
      </c>
      <c r="E69" s="14">
        <v>3.5274999999999999</v>
      </c>
      <c r="F69" s="14">
        <v>3.4474529999999999</v>
      </c>
      <c r="G69" s="16">
        <v>50280184</v>
      </c>
    </row>
    <row r="70" spans="1:7" x14ac:dyDescent="0.2">
      <c r="A70" s="1">
        <v>45141</v>
      </c>
      <c r="B70" s="14">
        <v>3.5095000000000001</v>
      </c>
      <c r="C70" s="14">
        <v>3.5924999999999998</v>
      </c>
      <c r="D70" s="14">
        <v>3.5049999999999999</v>
      </c>
      <c r="E70" s="14">
        <v>3.5855000000000001</v>
      </c>
      <c r="F70" s="14">
        <v>3.5041370000000001</v>
      </c>
      <c r="G70" s="16">
        <v>35372540</v>
      </c>
    </row>
    <row r="71" spans="1:7" x14ac:dyDescent="0.2">
      <c r="A71" s="1">
        <v>45142</v>
      </c>
      <c r="B71" s="14">
        <v>3.6040000000000001</v>
      </c>
      <c r="C71" s="14">
        <v>3.62</v>
      </c>
      <c r="D71" s="14">
        <v>3.57</v>
      </c>
      <c r="E71" s="14">
        <v>3.6084999999999998</v>
      </c>
      <c r="F71" s="14">
        <v>3.5266150000000001</v>
      </c>
      <c r="G71" s="16">
        <v>23142480</v>
      </c>
    </row>
    <row r="72" spans="1:7" x14ac:dyDescent="0.2">
      <c r="A72" s="1">
        <v>45145</v>
      </c>
      <c r="B72" s="14">
        <v>3.5855000000000001</v>
      </c>
      <c r="C72" s="14">
        <v>3.6345000000000001</v>
      </c>
      <c r="D72" s="14">
        <v>3.56</v>
      </c>
      <c r="E72" s="14">
        <v>3.621</v>
      </c>
      <c r="F72" s="14">
        <v>3.5388310000000001</v>
      </c>
      <c r="G72" s="16">
        <v>12039266</v>
      </c>
    </row>
    <row r="73" spans="1:7" x14ac:dyDescent="0.2">
      <c r="A73" s="1">
        <v>45146</v>
      </c>
      <c r="B73" s="14">
        <v>3.5754999999999999</v>
      </c>
      <c r="C73" s="14">
        <v>3.5785</v>
      </c>
      <c r="D73" s="14">
        <v>3.4609999999999999</v>
      </c>
      <c r="E73" s="14">
        <v>3.5230000000000001</v>
      </c>
      <c r="F73" s="14">
        <v>3.4430550000000002</v>
      </c>
      <c r="G73" s="16">
        <v>34504136</v>
      </c>
    </row>
    <row r="74" spans="1:7" x14ac:dyDescent="0.2">
      <c r="A74" s="1">
        <v>45147</v>
      </c>
      <c r="B74" s="14">
        <v>3.593</v>
      </c>
      <c r="C74" s="14">
        <v>3.6055000000000001</v>
      </c>
      <c r="D74" s="14">
        <v>3.5350000000000001</v>
      </c>
      <c r="E74" s="14">
        <v>3.5495000000000001</v>
      </c>
      <c r="F74" s="14">
        <v>3.4689540000000001</v>
      </c>
      <c r="G74" s="16">
        <v>18394579</v>
      </c>
    </row>
    <row r="75" spans="1:7" x14ac:dyDescent="0.2">
      <c r="A75" s="1">
        <v>45148</v>
      </c>
      <c r="B75" s="14">
        <v>3.5745</v>
      </c>
      <c r="C75" s="14">
        <v>3.6655000000000002</v>
      </c>
      <c r="D75" s="14">
        <v>3.5684999999999998</v>
      </c>
      <c r="E75" s="14">
        <v>3.6475</v>
      </c>
      <c r="F75" s="14">
        <v>3.56473</v>
      </c>
      <c r="G75" s="16">
        <v>30943176</v>
      </c>
    </row>
    <row r="76" spans="1:7" x14ac:dyDescent="0.2">
      <c r="A76" s="1">
        <v>45149</v>
      </c>
      <c r="B76" s="14">
        <v>3.6389999999999998</v>
      </c>
      <c r="C76" s="14">
        <v>3.6465000000000001</v>
      </c>
      <c r="D76" s="14">
        <v>3.5825</v>
      </c>
      <c r="E76" s="14">
        <v>3.5924999999999998</v>
      </c>
      <c r="F76" s="14">
        <v>3.5109780000000002</v>
      </c>
      <c r="G76" s="16">
        <v>15252206</v>
      </c>
    </row>
    <row r="77" spans="1:7" x14ac:dyDescent="0.2">
      <c r="A77" s="1">
        <v>45152</v>
      </c>
      <c r="B77" s="14">
        <v>3.6095000000000002</v>
      </c>
      <c r="C77" s="14">
        <v>3.6320000000000001</v>
      </c>
      <c r="D77" s="14">
        <v>3.5804999999999998</v>
      </c>
      <c r="E77" s="14">
        <v>3.5964999999999998</v>
      </c>
      <c r="F77" s="14">
        <v>3.5148869999999999</v>
      </c>
      <c r="G77" s="16">
        <v>15050762</v>
      </c>
    </row>
    <row r="78" spans="1:7" x14ac:dyDescent="0.2">
      <c r="A78" s="1">
        <v>45153</v>
      </c>
      <c r="B78" s="14">
        <v>3.5990000000000002</v>
      </c>
      <c r="C78" s="14">
        <v>3.6055000000000001</v>
      </c>
      <c r="D78" s="14">
        <v>3.5405000000000002</v>
      </c>
      <c r="E78" s="14">
        <v>3.5670000000000002</v>
      </c>
      <c r="F78" s="14">
        <v>3.4860570000000002</v>
      </c>
      <c r="G78" s="16">
        <v>13039047</v>
      </c>
    </row>
    <row r="79" spans="1:7" x14ac:dyDescent="0.2">
      <c r="A79" s="1">
        <v>45154</v>
      </c>
      <c r="B79" s="14">
        <v>3.5529999999999999</v>
      </c>
      <c r="C79" s="14">
        <v>3.5865</v>
      </c>
      <c r="D79" s="14">
        <v>3.5415000000000001</v>
      </c>
      <c r="E79" s="14">
        <v>3.5565000000000002</v>
      </c>
      <c r="F79" s="14">
        <v>3.4757950000000002</v>
      </c>
      <c r="G79" s="16">
        <v>11267918</v>
      </c>
    </row>
    <row r="80" spans="1:7" x14ac:dyDescent="0.2">
      <c r="A80" s="1">
        <v>45155</v>
      </c>
      <c r="B80" s="14">
        <v>3.55</v>
      </c>
      <c r="C80" s="14">
        <v>3.5859999999999999</v>
      </c>
      <c r="D80" s="14">
        <v>3.5379999999999998</v>
      </c>
      <c r="E80" s="14">
        <v>3.5569999999999999</v>
      </c>
      <c r="F80" s="14">
        <v>3.4762840000000002</v>
      </c>
      <c r="G80" s="16">
        <v>21767274</v>
      </c>
    </row>
    <row r="81" spans="1:7" x14ac:dyDescent="0.2">
      <c r="A81" s="1">
        <v>45156</v>
      </c>
      <c r="B81" s="14">
        <v>3.5329999999999999</v>
      </c>
      <c r="C81" s="14">
        <v>3.5590000000000002</v>
      </c>
      <c r="D81" s="14">
        <v>3.5089999999999999</v>
      </c>
      <c r="E81" s="14">
        <v>3.5514999999999999</v>
      </c>
      <c r="F81" s="14">
        <v>3.4709080000000001</v>
      </c>
      <c r="G81" s="16">
        <v>17990188</v>
      </c>
    </row>
    <row r="82" spans="1:7" x14ac:dyDescent="0.2">
      <c r="A82" s="1">
        <v>45159</v>
      </c>
      <c r="B82" s="14">
        <v>3.5514999999999999</v>
      </c>
      <c r="C82" s="14">
        <v>3.6120000000000001</v>
      </c>
      <c r="D82" s="14">
        <v>3.5485000000000002</v>
      </c>
      <c r="E82" s="14">
        <v>3.5609999999999999</v>
      </c>
      <c r="F82" s="14">
        <v>3.4801929999999999</v>
      </c>
      <c r="G82" s="16">
        <v>15213035</v>
      </c>
    </row>
    <row r="83" spans="1:7" x14ac:dyDescent="0.2">
      <c r="A83" s="1">
        <v>45160</v>
      </c>
      <c r="B83" s="14">
        <v>3.5950000000000002</v>
      </c>
      <c r="C83" s="14">
        <v>3.6190000000000002</v>
      </c>
      <c r="D83" s="14">
        <v>3.5710000000000002</v>
      </c>
      <c r="E83" s="14">
        <v>3.5764999999999998</v>
      </c>
      <c r="F83" s="14">
        <v>3.4953409999999998</v>
      </c>
      <c r="G83" s="16">
        <v>17274501</v>
      </c>
    </row>
    <row r="84" spans="1:7" x14ac:dyDescent="0.2">
      <c r="A84" s="1">
        <v>45161</v>
      </c>
      <c r="B84" s="14">
        <v>3.5724999999999998</v>
      </c>
      <c r="C84" s="14">
        <v>3.6030000000000002</v>
      </c>
      <c r="D84" s="14">
        <v>3.5255000000000001</v>
      </c>
      <c r="E84" s="14">
        <v>3.5339999999999998</v>
      </c>
      <c r="F84" s="14">
        <v>3.453805</v>
      </c>
      <c r="G84" s="16">
        <v>18015294</v>
      </c>
    </row>
    <row r="85" spans="1:7" x14ac:dyDescent="0.2">
      <c r="A85" s="1">
        <v>45162</v>
      </c>
      <c r="B85" s="14">
        <v>3.5724999999999998</v>
      </c>
      <c r="C85" s="14">
        <v>3.585</v>
      </c>
      <c r="D85" s="14">
        <v>3.5234999999999999</v>
      </c>
      <c r="E85" s="14">
        <v>3.536</v>
      </c>
      <c r="F85" s="14">
        <v>3.4557600000000002</v>
      </c>
      <c r="G85" s="16">
        <v>19636103</v>
      </c>
    </row>
    <row r="86" spans="1:7" x14ac:dyDescent="0.2">
      <c r="A86" s="1">
        <v>45163</v>
      </c>
      <c r="B86" s="14">
        <v>3.544</v>
      </c>
      <c r="C86" s="14">
        <v>3.589</v>
      </c>
      <c r="D86" s="14">
        <v>3.53</v>
      </c>
      <c r="E86" s="14">
        <v>3.5379999999999998</v>
      </c>
      <c r="F86" s="14">
        <v>3.4577149999999999</v>
      </c>
      <c r="G86" s="16">
        <v>16246961</v>
      </c>
    </row>
    <row r="87" spans="1:7" x14ac:dyDescent="0.2">
      <c r="A87" s="1">
        <v>45166</v>
      </c>
      <c r="B87" s="14">
        <v>3.569</v>
      </c>
      <c r="C87" s="14">
        <v>3.5825</v>
      </c>
      <c r="D87" s="14">
        <v>3.5529999999999999</v>
      </c>
      <c r="E87" s="14">
        <v>3.5745</v>
      </c>
      <c r="F87" s="14">
        <v>3.4933869999999998</v>
      </c>
      <c r="G87" s="16">
        <v>1939777</v>
      </c>
    </row>
    <row r="88" spans="1:7" x14ac:dyDescent="0.2">
      <c r="A88" s="1">
        <v>45167</v>
      </c>
      <c r="B88" s="14">
        <v>3.6419999999999999</v>
      </c>
      <c r="C88" s="14">
        <v>3.65</v>
      </c>
      <c r="D88" s="14">
        <v>3.6059999999999999</v>
      </c>
      <c r="E88" s="14">
        <v>3.6315</v>
      </c>
      <c r="F88" s="14">
        <v>3.5490930000000001</v>
      </c>
      <c r="G88" s="16">
        <v>24326785</v>
      </c>
    </row>
    <row r="89" spans="1:7" x14ac:dyDescent="0.2">
      <c r="A89" s="1">
        <v>45168</v>
      </c>
      <c r="B89" s="14">
        <v>3.65</v>
      </c>
      <c r="C89" s="14">
        <v>3.6825000000000001</v>
      </c>
      <c r="D89" s="14">
        <v>3.625</v>
      </c>
      <c r="E89" s="14">
        <v>3.6284999999999998</v>
      </c>
      <c r="F89" s="14">
        <v>3.5461610000000001</v>
      </c>
      <c r="G89" s="16">
        <v>17713155</v>
      </c>
    </row>
    <row r="90" spans="1:7" x14ac:dyDescent="0.2">
      <c r="A90" s="1">
        <v>45169</v>
      </c>
      <c r="B90" s="14">
        <v>3.6315</v>
      </c>
      <c r="C90" s="14">
        <v>3.6459999999999999</v>
      </c>
      <c r="D90" s="14">
        <v>3.5935000000000001</v>
      </c>
      <c r="E90" s="14">
        <v>3.6019999999999999</v>
      </c>
      <c r="F90" s="14">
        <v>3.5202619999999998</v>
      </c>
      <c r="G90" s="16">
        <v>55210602</v>
      </c>
    </row>
    <row r="91" spans="1:7" x14ac:dyDescent="0.2">
      <c r="A91" s="1">
        <v>45170</v>
      </c>
      <c r="B91" s="14">
        <v>3.6059999999999999</v>
      </c>
      <c r="C91" s="14">
        <v>3.6160000000000001</v>
      </c>
      <c r="D91" s="14">
        <v>3.5194999999999999</v>
      </c>
      <c r="E91" s="14">
        <v>3.5194999999999999</v>
      </c>
      <c r="F91" s="14">
        <v>3.439635</v>
      </c>
      <c r="G91" s="16">
        <v>29668913</v>
      </c>
    </row>
    <row r="92" spans="1:7" x14ac:dyDescent="0.2">
      <c r="A92" s="1">
        <v>45173</v>
      </c>
      <c r="B92" s="14">
        <v>3.5409999999999999</v>
      </c>
      <c r="C92" s="14">
        <v>3.5640000000000001</v>
      </c>
      <c r="D92" s="14">
        <v>3.5015000000000001</v>
      </c>
      <c r="E92" s="14">
        <v>3.5150000000000001</v>
      </c>
      <c r="F92" s="14">
        <v>3.4352369999999999</v>
      </c>
      <c r="G92" s="16">
        <v>17339932</v>
      </c>
    </row>
    <row r="93" spans="1:7" x14ac:dyDescent="0.2">
      <c r="A93" s="1">
        <v>45174</v>
      </c>
      <c r="B93" s="14">
        <v>3.5034999999999998</v>
      </c>
      <c r="C93" s="14">
        <v>3.532</v>
      </c>
      <c r="D93" s="14">
        <v>3.4695</v>
      </c>
      <c r="E93" s="14">
        <v>3.5030000000000001</v>
      </c>
      <c r="F93" s="14">
        <v>3.4235090000000001</v>
      </c>
      <c r="G93" s="16">
        <v>21313712</v>
      </c>
    </row>
    <row r="94" spans="1:7" x14ac:dyDescent="0.2">
      <c r="A94" s="1">
        <v>45175</v>
      </c>
      <c r="B94" s="14">
        <v>3.4660000000000002</v>
      </c>
      <c r="C94" s="14">
        <v>3.4775</v>
      </c>
      <c r="D94" s="14">
        <v>3.3875000000000002</v>
      </c>
      <c r="E94" s="14">
        <v>3.407</v>
      </c>
      <c r="F94" s="14">
        <v>3.329688</v>
      </c>
      <c r="G94" s="16">
        <v>32754572</v>
      </c>
    </row>
    <row r="95" spans="1:7" x14ac:dyDescent="0.2">
      <c r="A95" s="1">
        <v>45176</v>
      </c>
      <c r="B95" s="14">
        <v>3.3919999999999999</v>
      </c>
      <c r="C95" s="14">
        <v>3.4175</v>
      </c>
      <c r="D95" s="14">
        <v>3.3519999999999999</v>
      </c>
      <c r="E95" s="14">
        <v>3.3759999999999999</v>
      </c>
      <c r="F95" s="14">
        <v>3.299391</v>
      </c>
      <c r="G95" s="16">
        <v>21694476</v>
      </c>
    </row>
    <row r="96" spans="1:7" x14ac:dyDescent="0.2">
      <c r="A96" s="1">
        <v>45177</v>
      </c>
      <c r="B96" s="14">
        <v>3.3879999999999999</v>
      </c>
      <c r="C96" s="14">
        <v>3.4125000000000001</v>
      </c>
      <c r="D96" s="14">
        <v>3.3319999999999999</v>
      </c>
      <c r="E96" s="14">
        <v>3.4079999999999999</v>
      </c>
      <c r="F96" s="14">
        <v>3.3306650000000002</v>
      </c>
      <c r="G96" s="16">
        <v>23264628</v>
      </c>
    </row>
    <row r="97" spans="1:7" x14ac:dyDescent="0.2">
      <c r="A97" s="1">
        <v>45180</v>
      </c>
      <c r="B97" s="14">
        <v>3.4384999999999999</v>
      </c>
      <c r="C97" s="14">
        <v>3.46</v>
      </c>
      <c r="D97" s="14">
        <v>3.395</v>
      </c>
      <c r="E97" s="14">
        <v>3.4340000000000002</v>
      </c>
      <c r="F97" s="14">
        <v>3.3560750000000001</v>
      </c>
      <c r="G97" s="16">
        <v>18335020</v>
      </c>
    </row>
    <row r="98" spans="1:7" x14ac:dyDescent="0.2">
      <c r="A98" s="1">
        <v>45181</v>
      </c>
      <c r="B98" s="14">
        <v>3.4460000000000002</v>
      </c>
      <c r="C98" s="14">
        <v>3.4575</v>
      </c>
      <c r="D98" s="14">
        <v>3.4235000000000002</v>
      </c>
      <c r="E98" s="14">
        <v>3.4460000000000002</v>
      </c>
      <c r="F98" s="14">
        <v>3.3678029999999999</v>
      </c>
      <c r="G98" s="16">
        <v>49304860</v>
      </c>
    </row>
    <row r="99" spans="1:7" x14ac:dyDescent="0.2">
      <c r="A99" s="1">
        <v>45182</v>
      </c>
      <c r="B99" s="14">
        <v>3.4390000000000001</v>
      </c>
      <c r="C99" s="14">
        <v>3.4769999999999999</v>
      </c>
      <c r="D99" s="14">
        <v>3.4249999999999998</v>
      </c>
      <c r="E99" s="14">
        <v>3.4540000000000002</v>
      </c>
      <c r="F99" s="14">
        <v>3.3756210000000002</v>
      </c>
      <c r="G99" s="16">
        <v>19141872</v>
      </c>
    </row>
    <row r="100" spans="1:7" x14ac:dyDescent="0.2">
      <c r="A100" s="1">
        <v>45183</v>
      </c>
      <c r="B100" s="14">
        <v>3.45</v>
      </c>
      <c r="C100" s="14">
        <v>3.5350000000000001</v>
      </c>
      <c r="D100" s="14">
        <v>3.4220000000000002</v>
      </c>
      <c r="E100" s="14">
        <v>3.5255000000000001</v>
      </c>
      <c r="F100" s="14">
        <v>3.4454980000000002</v>
      </c>
      <c r="G100" s="16">
        <v>30199255</v>
      </c>
    </row>
    <row r="101" spans="1:7" x14ac:dyDescent="0.2">
      <c r="A101" s="1">
        <v>45184</v>
      </c>
      <c r="B101" s="14">
        <v>3.55</v>
      </c>
      <c r="C101" s="14">
        <v>3.5695000000000001</v>
      </c>
      <c r="D101" s="14">
        <v>3.4670000000000001</v>
      </c>
      <c r="E101" s="14">
        <v>3.4914999999999998</v>
      </c>
      <c r="F101" s="14">
        <v>3.4122699999999999</v>
      </c>
      <c r="G101" s="16">
        <v>69443170</v>
      </c>
    </row>
    <row r="102" spans="1:7" x14ac:dyDescent="0.2">
      <c r="A102" s="1">
        <v>45187</v>
      </c>
      <c r="B102" s="14">
        <v>3.48</v>
      </c>
      <c r="C102" s="14">
        <v>3.5030000000000001</v>
      </c>
      <c r="D102" s="14">
        <v>3.4255</v>
      </c>
      <c r="E102" s="14">
        <v>3.4455</v>
      </c>
      <c r="F102" s="14">
        <v>3.3673139999999999</v>
      </c>
      <c r="G102" s="16">
        <v>20251485</v>
      </c>
    </row>
    <row r="103" spans="1:7" x14ac:dyDescent="0.2">
      <c r="A103" s="1">
        <v>45188</v>
      </c>
      <c r="B103" s="14">
        <v>3.4325000000000001</v>
      </c>
      <c r="C103" s="14">
        <v>3.4790000000000001</v>
      </c>
      <c r="D103" s="14">
        <v>3.4325000000000001</v>
      </c>
      <c r="E103" s="14">
        <v>3.464</v>
      </c>
      <c r="F103" s="14">
        <v>3.3853939999999998</v>
      </c>
      <c r="G103" s="16">
        <v>16094874</v>
      </c>
    </row>
    <row r="104" spans="1:7" x14ac:dyDescent="0.2">
      <c r="A104" s="1">
        <v>45189</v>
      </c>
      <c r="B104" s="14">
        <v>3.49</v>
      </c>
      <c r="C104" s="14">
        <v>3.5419999999999998</v>
      </c>
      <c r="D104" s="14">
        <v>3.4630000000000001</v>
      </c>
      <c r="E104" s="14">
        <v>3.5230000000000001</v>
      </c>
      <c r="F104" s="14">
        <v>3.4430550000000002</v>
      </c>
      <c r="G104" s="16">
        <v>22134420</v>
      </c>
    </row>
    <row r="105" spans="1:7" x14ac:dyDescent="0.2">
      <c r="A105" s="1">
        <v>45190</v>
      </c>
      <c r="B105" s="14">
        <v>3.49</v>
      </c>
      <c r="C105" s="14">
        <v>3.5129999999999999</v>
      </c>
      <c r="D105" s="14">
        <v>3.4510000000000001</v>
      </c>
      <c r="E105" s="14">
        <v>3.5065</v>
      </c>
      <c r="F105" s="14">
        <v>3.4269289999999999</v>
      </c>
      <c r="G105" s="16">
        <v>34697506</v>
      </c>
    </row>
    <row r="106" spans="1:7" x14ac:dyDescent="0.2">
      <c r="A106" s="1">
        <v>45191</v>
      </c>
      <c r="B106" s="14">
        <v>3.4870000000000001</v>
      </c>
      <c r="C106" s="14">
        <v>3.5194999999999999</v>
      </c>
      <c r="D106" s="14">
        <v>3.464</v>
      </c>
      <c r="E106" s="14">
        <v>3.4820000000000002</v>
      </c>
      <c r="F106" s="14">
        <v>3.4029859999999998</v>
      </c>
      <c r="G106" s="16">
        <v>33356450</v>
      </c>
    </row>
    <row r="107" spans="1:7" x14ac:dyDescent="0.2">
      <c r="A107" s="1">
        <v>45194</v>
      </c>
      <c r="B107" s="14">
        <v>3.46</v>
      </c>
      <c r="C107" s="14">
        <v>3.5125000000000002</v>
      </c>
      <c r="D107" s="14">
        <v>3.431</v>
      </c>
      <c r="E107" s="14">
        <v>3.45</v>
      </c>
      <c r="F107" s="14">
        <v>3.371712</v>
      </c>
      <c r="G107" s="16">
        <v>26717693</v>
      </c>
    </row>
    <row r="108" spans="1:7" x14ac:dyDescent="0.2">
      <c r="A108" s="1">
        <v>45195</v>
      </c>
      <c r="B108" s="14">
        <v>3.4340000000000002</v>
      </c>
      <c r="C108" s="14">
        <v>3.4620000000000002</v>
      </c>
      <c r="D108" s="14">
        <v>3.3965000000000001</v>
      </c>
      <c r="E108" s="14">
        <v>3.4344999999999999</v>
      </c>
      <c r="F108" s="14">
        <v>3.356563</v>
      </c>
      <c r="G108" s="16">
        <v>28623835</v>
      </c>
    </row>
    <row r="109" spans="1:7" x14ac:dyDescent="0.2">
      <c r="A109" s="1">
        <v>45196</v>
      </c>
      <c r="B109" s="14">
        <v>3.4424999999999999</v>
      </c>
      <c r="C109" s="14">
        <v>3.5150000000000001</v>
      </c>
      <c r="D109" s="14">
        <v>3.4350000000000001</v>
      </c>
      <c r="E109" s="14">
        <v>3.4944999999999999</v>
      </c>
      <c r="F109" s="14">
        <v>3.4152019999999998</v>
      </c>
      <c r="G109" s="16">
        <v>22553181</v>
      </c>
    </row>
    <row r="110" spans="1:7" x14ac:dyDescent="0.2">
      <c r="A110" s="1">
        <v>45197</v>
      </c>
      <c r="B110" s="14">
        <v>3.51</v>
      </c>
      <c r="C110" s="14">
        <v>3.6524999999999999</v>
      </c>
      <c r="D110" s="14">
        <v>3.5005000000000002</v>
      </c>
      <c r="E110" s="14">
        <v>3.65</v>
      </c>
      <c r="F110" s="14">
        <v>3.5671729999999999</v>
      </c>
      <c r="G110" s="16">
        <v>53172108</v>
      </c>
    </row>
    <row r="111" spans="1:7" x14ac:dyDescent="0.2">
      <c r="A111" s="1">
        <v>45198</v>
      </c>
      <c r="B111" s="14">
        <v>3.6315</v>
      </c>
      <c r="C111" s="14">
        <v>3.6619999999999999</v>
      </c>
      <c r="D111" s="14">
        <v>3.6</v>
      </c>
      <c r="E111" s="14">
        <v>3.6185</v>
      </c>
      <c r="F111" s="14">
        <v>3.5363880000000001</v>
      </c>
      <c r="G111" s="16">
        <v>42092018</v>
      </c>
    </row>
    <row r="112" spans="1:7" x14ac:dyDescent="0.2">
      <c r="A112" s="1">
        <v>45201</v>
      </c>
      <c r="B112" s="14">
        <v>3.6204999999999998</v>
      </c>
      <c r="C112" s="14">
        <v>3.66</v>
      </c>
      <c r="D112" s="14">
        <v>3.5644999999999998</v>
      </c>
      <c r="E112" s="14">
        <v>3.5724999999999998</v>
      </c>
      <c r="F112" s="14">
        <v>3.4914320000000001</v>
      </c>
      <c r="G112" s="16">
        <v>36166144</v>
      </c>
    </row>
    <row r="113" spans="1:7" x14ac:dyDescent="0.2">
      <c r="A113" s="1">
        <v>45202</v>
      </c>
      <c r="B113" s="14">
        <v>3.5550000000000002</v>
      </c>
      <c r="C113" s="14">
        <v>3.6345000000000001</v>
      </c>
      <c r="D113" s="14">
        <v>3.5430000000000001</v>
      </c>
      <c r="E113" s="14">
        <v>3.5550000000000002</v>
      </c>
      <c r="F113" s="14">
        <v>3.474329</v>
      </c>
      <c r="G113" s="16">
        <v>30177146</v>
      </c>
    </row>
    <row r="114" spans="1:7" x14ac:dyDescent="0.2">
      <c r="A114" s="1">
        <v>45203</v>
      </c>
      <c r="B114" s="14">
        <v>3.54</v>
      </c>
      <c r="C114" s="14">
        <v>3.5474999999999999</v>
      </c>
      <c r="D114" s="14">
        <v>3.4780000000000002</v>
      </c>
      <c r="E114" s="14">
        <v>3.5225</v>
      </c>
      <c r="F114" s="14">
        <v>3.4425669999999999</v>
      </c>
      <c r="G114" s="16">
        <v>36554010</v>
      </c>
    </row>
    <row r="115" spans="1:7" x14ac:dyDescent="0.2">
      <c r="A115" s="1">
        <v>45204</v>
      </c>
      <c r="B115" s="14">
        <v>3.5550000000000002</v>
      </c>
      <c r="C115" s="14">
        <v>3.5735000000000001</v>
      </c>
      <c r="D115" s="14">
        <v>3.4965000000000002</v>
      </c>
      <c r="E115" s="14">
        <v>3.5505</v>
      </c>
      <c r="F115" s="14">
        <v>3.4699309999999999</v>
      </c>
      <c r="G115" s="16">
        <v>28117545</v>
      </c>
    </row>
    <row r="116" spans="1:7" x14ac:dyDescent="0.2">
      <c r="A116" s="1">
        <v>45205</v>
      </c>
      <c r="B116" s="14">
        <v>3.5665</v>
      </c>
      <c r="C116" s="14">
        <v>3.6309999999999998</v>
      </c>
      <c r="D116" s="14">
        <v>3.5594999999999999</v>
      </c>
      <c r="E116" s="14">
        <v>3.6095000000000002</v>
      </c>
      <c r="F116" s="14">
        <v>3.5275919999999998</v>
      </c>
      <c r="G116" s="16">
        <v>23749011</v>
      </c>
    </row>
    <row r="117" spans="1:7" x14ac:dyDescent="0.2">
      <c r="A117" s="1">
        <v>45208</v>
      </c>
      <c r="B117" s="14">
        <v>3.5670000000000002</v>
      </c>
      <c r="C117" s="14">
        <v>3.5830000000000002</v>
      </c>
      <c r="D117" s="14">
        <v>3.508</v>
      </c>
      <c r="E117" s="14">
        <v>3.5125000000000002</v>
      </c>
      <c r="F117" s="14">
        <v>3.4327930000000002</v>
      </c>
      <c r="G117" s="16">
        <v>31893814</v>
      </c>
    </row>
    <row r="118" spans="1:7" x14ac:dyDescent="0.2">
      <c r="A118" s="1">
        <v>45209</v>
      </c>
      <c r="B118" s="14">
        <v>3.55</v>
      </c>
      <c r="C118" s="14">
        <v>3.6280000000000001</v>
      </c>
      <c r="D118" s="14">
        <v>3.54</v>
      </c>
      <c r="E118" s="14">
        <v>3.6070000000000002</v>
      </c>
      <c r="F118" s="14">
        <v>3.5251489999999999</v>
      </c>
      <c r="G118" s="16">
        <v>29429951</v>
      </c>
    </row>
    <row r="119" spans="1:7" x14ac:dyDescent="0.2">
      <c r="A119" s="1">
        <v>45210</v>
      </c>
      <c r="B119" s="14">
        <v>3.5844999999999998</v>
      </c>
      <c r="C119" s="14">
        <v>3.6309999999999998</v>
      </c>
      <c r="D119" s="14">
        <v>3.5735000000000001</v>
      </c>
      <c r="E119" s="14">
        <v>3.6105</v>
      </c>
      <c r="F119" s="14">
        <v>3.5285700000000002</v>
      </c>
      <c r="G119" s="16">
        <v>27641321</v>
      </c>
    </row>
    <row r="120" spans="1:7" x14ac:dyDescent="0.2">
      <c r="A120" s="1">
        <v>45211</v>
      </c>
      <c r="B120" s="14">
        <v>3.6429999999999998</v>
      </c>
      <c r="C120" s="14">
        <v>3.6429999999999998</v>
      </c>
      <c r="D120" s="14">
        <v>3.5695000000000001</v>
      </c>
      <c r="E120" s="14">
        <v>3.5870000000000002</v>
      </c>
      <c r="F120" s="14">
        <v>3.5056029999999998</v>
      </c>
      <c r="G120" s="16">
        <v>21367746</v>
      </c>
    </row>
    <row r="121" spans="1:7" x14ac:dyDescent="0.2">
      <c r="A121" s="1">
        <v>45212</v>
      </c>
      <c r="B121" s="14">
        <v>3.57</v>
      </c>
      <c r="C121" s="14">
        <v>3.5840000000000001</v>
      </c>
      <c r="D121" s="14">
        <v>3.4940000000000002</v>
      </c>
      <c r="E121" s="14">
        <v>3.5129999999999999</v>
      </c>
      <c r="F121" s="14">
        <v>3.4332820000000002</v>
      </c>
      <c r="G121" s="16">
        <v>41393175</v>
      </c>
    </row>
    <row r="122" spans="1:7" x14ac:dyDescent="0.2">
      <c r="A122" s="1">
        <v>45215</v>
      </c>
      <c r="B122" s="14">
        <v>3.54</v>
      </c>
      <c r="C122" s="14">
        <v>3.5910000000000002</v>
      </c>
      <c r="D122" s="14">
        <v>3.5009999999999999</v>
      </c>
      <c r="E122" s="14">
        <v>3.5760000000000001</v>
      </c>
      <c r="F122" s="14">
        <v>3.494853</v>
      </c>
      <c r="G122" s="16">
        <v>26856670</v>
      </c>
    </row>
    <row r="123" spans="1:7" x14ac:dyDescent="0.2">
      <c r="A123" s="1">
        <v>45216</v>
      </c>
      <c r="B123" s="14">
        <v>3.5659999999999998</v>
      </c>
      <c r="C123" s="14">
        <v>3.5874999999999999</v>
      </c>
      <c r="D123" s="14">
        <v>3.5305</v>
      </c>
      <c r="E123" s="14">
        <v>3.5720000000000001</v>
      </c>
      <c r="F123" s="14">
        <v>3.4909430000000001</v>
      </c>
      <c r="G123" s="16">
        <v>16215335</v>
      </c>
    </row>
    <row r="124" spans="1:7" x14ac:dyDescent="0.2">
      <c r="A124" s="1">
        <v>45217</v>
      </c>
      <c r="B124" s="14">
        <v>3.5569999999999999</v>
      </c>
      <c r="C124" s="14">
        <v>3.5720000000000001</v>
      </c>
      <c r="D124" s="14">
        <v>3.5110000000000001</v>
      </c>
      <c r="E124" s="14">
        <v>3.5110000000000001</v>
      </c>
      <c r="F124" s="14">
        <v>3.431327</v>
      </c>
      <c r="G124" s="16">
        <v>34988893</v>
      </c>
    </row>
    <row r="125" spans="1:7" x14ac:dyDescent="0.2">
      <c r="A125" s="1">
        <v>45218</v>
      </c>
      <c r="B125" s="14">
        <v>3.51</v>
      </c>
      <c r="C125" s="14">
        <v>3.524</v>
      </c>
      <c r="D125" s="14">
        <v>3.4710000000000001</v>
      </c>
      <c r="E125" s="14">
        <v>3.5085000000000002</v>
      </c>
      <c r="F125" s="14">
        <v>3.428884</v>
      </c>
      <c r="G125" s="16">
        <v>31323285</v>
      </c>
    </row>
    <row r="126" spans="1:7" x14ac:dyDescent="0.2">
      <c r="A126" s="1">
        <v>45219</v>
      </c>
      <c r="B126" s="14">
        <v>3.48</v>
      </c>
      <c r="C126" s="14">
        <v>3.5030000000000001</v>
      </c>
      <c r="D126" s="14">
        <v>3.4514999999999998</v>
      </c>
      <c r="E126" s="14">
        <v>3.4565000000000001</v>
      </c>
      <c r="F126" s="14">
        <v>3.3780640000000002</v>
      </c>
      <c r="G126" s="16">
        <v>65331121</v>
      </c>
    </row>
    <row r="127" spans="1:7" x14ac:dyDescent="0.2">
      <c r="A127" s="1">
        <v>45222</v>
      </c>
      <c r="B127" s="14">
        <v>3.4634999999999998</v>
      </c>
      <c r="C127" s="14">
        <v>3.4744999999999999</v>
      </c>
      <c r="D127" s="14">
        <v>3.3875000000000002</v>
      </c>
      <c r="E127" s="14">
        <v>3.4215</v>
      </c>
      <c r="F127" s="14">
        <v>3.343858</v>
      </c>
      <c r="G127" s="16">
        <v>178180697</v>
      </c>
    </row>
    <row r="128" spans="1:7" x14ac:dyDescent="0.2">
      <c r="A128" s="1">
        <v>45223</v>
      </c>
      <c r="B128" s="14">
        <v>3.4409999999999998</v>
      </c>
      <c r="C128" s="14">
        <v>3.4424999999999999</v>
      </c>
      <c r="D128" s="14">
        <v>3.3525</v>
      </c>
      <c r="E128" s="14">
        <v>3.3815</v>
      </c>
      <c r="F128" s="14">
        <v>3.3047659999999999</v>
      </c>
      <c r="G128" s="16">
        <v>170601157</v>
      </c>
    </row>
    <row r="129" spans="1:7" x14ac:dyDescent="0.2">
      <c r="A129" s="1">
        <v>45224</v>
      </c>
      <c r="B129" s="14">
        <v>3.4005000000000001</v>
      </c>
      <c r="C129" s="14">
        <v>3.5015000000000001</v>
      </c>
      <c r="D129" s="14">
        <v>3.3450000000000002</v>
      </c>
      <c r="E129" s="14">
        <v>3.4609999999999999</v>
      </c>
      <c r="F129" s="14">
        <v>3.3824619999999999</v>
      </c>
      <c r="G129" s="16">
        <v>87290373</v>
      </c>
    </row>
    <row r="130" spans="1:7" x14ac:dyDescent="0.2">
      <c r="A130" s="1">
        <v>45225</v>
      </c>
      <c r="B130" s="14">
        <v>3.44</v>
      </c>
      <c r="C130" s="14">
        <v>3.52</v>
      </c>
      <c r="D130" s="14">
        <v>3.4055</v>
      </c>
      <c r="E130" s="14">
        <v>3.5110000000000001</v>
      </c>
      <c r="F130" s="14">
        <v>3.431327</v>
      </c>
      <c r="G130" s="16">
        <v>32176659</v>
      </c>
    </row>
    <row r="131" spans="1:7" x14ac:dyDescent="0.2">
      <c r="A131" s="1">
        <v>45226</v>
      </c>
      <c r="B131" s="14">
        <v>3.5449999999999999</v>
      </c>
      <c r="C131" s="14">
        <v>3.5630000000000002</v>
      </c>
      <c r="D131" s="14">
        <v>3.4575</v>
      </c>
      <c r="E131" s="14">
        <v>3.4809999999999999</v>
      </c>
      <c r="F131" s="14">
        <v>3.4020079999999999</v>
      </c>
      <c r="G131" s="16">
        <v>53188968</v>
      </c>
    </row>
    <row r="132" spans="1:7" x14ac:dyDescent="0.2">
      <c r="A132" s="1">
        <v>45229</v>
      </c>
      <c r="B132" s="14">
        <v>3.5</v>
      </c>
      <c r="C132" s="14">
        <v>3.5764999999999998</v>
      </c>
      <c r="D132" s="14">
        <v>3.4714999999999998</v>
      </c>
      <c r="E132" s="14">
        <v>3.5695000000000001</v>
      </c>
      <c r="F132" s="14">
        <v>3.4885000000000002</v>
      </c>
      <c r="G132" s="16">
        <v>70729714</v>
      </c>
    </row>
    <row r="133" spans="1:7" x14ac:dyDescent="0.2">
      <c r="A133" s="1">
        <v>45230</v>
      </c>
      <c r="B133" s="14">
        <v>3.5055000000000001</v>
      </c>
      <c r="C133" s="14">
        <v>3.544</v>
      </c>
      <c r="D133" s="14">
        <v>3.4295</v>
      </c>
      <c r="E133" s="14">
        <v>3.4660000000000002</v>
      </c>
      <c r="F133" s="14">
        <v>3.4660000000000002</v>
      </c>
      <c r="G133" s="16">
        <v>55102774</v>
      </c>
    </row>
    <row r="134" spans="1:7" x14ac:dyDescent="0.2">
      <c r="A134" s="1">
        <v>45231</v>
      </c>
      <c r="B134" s="14">
        <v>3.4885000000000002</v>
      </c>
      <c r="C134" s="14">
        <v>3.5154999999999998</v>
      </c>
      <c r="D134" s="14">
        <v>3.46</v>
      </c>
      <c r="E134" s="14">
        <v>3.5005000000000002</v>
      </c>
      <c r="F134" s="14">
        <v>3.5005000000000002</v>
      </c>
      <c r="G134" s="16">
        <v>41262477</v>
      </c>
    </row>
    <row r="135" spans="1:7" x14ac:dyDescent="0.2">
      <c r="A135" s="1">
        <v>45232</v>
      </c>
      <c r="B135" s="14">
        <v>3.504</v>
      </c>
      <c r="C135" s="14">
        <v>3.5960000000000001</v>
      </c>
      <c r="D135" s="14">
        <v>3.4954999999999998</v>
      </c>
      <c r="E135" s="14">
        <v>3.585</v>
      </c>
      <c r="F135" s="14">
        <v>3.585</v>
      </c>
      <c r="G135" s="16">
        <v>38701766</v>
      </c>
    </row>
    <row r="136" spans="1:7" x14ac:dyDescent="0.2">
      <c r="A136" s="1">
        <v>45233</v>
      </c>
      <c r="B136" s="14">
        <v>3.5975000000000001</v>
      </c>
      <c r="C136" s="14">
        <v>3.6105</v>
      </c>
      <c r="D136" s="14">
        <v>3.56</v>
      </c>
      <c r="E136" s="14">
        <v>3.5775000000000001</v>
      </c>
      <c r="F136" s="14">
        <v>3.5775000000000001</v>
      </c>
      <c r="G136" s="16">
        <v>47557948</v>
      </c>
    </row>
    <row r="137" spans="1:7" x14ac:dyDescent="0.2">
      <c r="A137" s="1">
        <v>45236</v>
      </c>
      <c r="B137" s="14">
        <v>3.5790000000000002</v>
      </c>
      <c r="C137" s="14">
        <v>3.5895000000000001</v>
      </c>
      <c r="D137" s="14">
        <v>3.5345</v>
      </c>
      <c r="E137" s="14">
        <v>3.54</v>
      </c>
      <c r="F137" s="14">
        <v>3.54</v>
      </c>
      <c r="G137" s="16">
        <v>50964313</v>
      </c>
    </row>
    <row r="138" spans="1:7" x14ac:dyDescent="0.2">
      <c r="A138" s="1">
        <v>45237</v>
      </c>
      <c r="B138" s="14">
        <v>3.52</v>
      </c>
      <c r="C138" s="14">
        <v>3.5585</v>
      </c>
      <c r="D138" s="14">
        <v>3.488</v>
      </c>
      <c r="E138" s="14">
        <v>3.5209999999999999</v>
      </c>
      <c r="F138" s="14">
        <v>3.5209999999999999</v>
      </c>
      <c r="G138" s="16">
        <v>129325134</v>
      </c>
    </row>
    <row r="139" spans="1:7" x14ac:dyDescent="0.2">
      <c r="A139" s="1">
        <v>45238</v>
      </c>
      <c r="B139" s="14">
        <v>3.5190000000000001</v>
      </c>
      <c r="C139" s="14">
        <v>3.5855000000000001</v>
      </c>
      <c r="D139" s="14">
        <v>3.4874999999999998</v>
      </c>
      <c r="E139" s="14">
        <v>3.5485000000000002</v>
      </c>
      <c r="F139" s="14">
        <v>3.5485000000000002</v>
      </c>
      <c r="G139" s="16">
        <v>35055000</v>
      </c>
    </row>
    <row r="140" spans="1:7" x14ac:dyDescent="0.2">
      <c r="A140" s="1">
        <v>45239</v>
      </c>
      <c r="B140" s="14">
        <v>3.552</v>
      </c>
      <c r="C140" s="14">
        <v>3.597</v>
      </c>
      <c r="D140" s="14">
        <v>3.5470000000000002</v>
      </c>
      <c r="E140" s="14">
        <v>3.597</v>
      </c>
      <c r="F140" s="14">
        <v>3.597</v>
      </c>
      <c r="G140" s="16">
        <v>24840848</v>
      </c>
    </row>
    <row r="141" spans="1:7" x14ac:dyDescent="0.2">
      <c r="A141" s="1">
        <v>45240</v>
      </c>
      <c r="B141" s="14">
        <v>3.5905</v>
      </c>
      <c r="C141" s="14">
        <v>3.6345000000000001</v>
      </c>
      <c r="D141" s="14">
        <v>3.581</v>
      </c>
      <c r="E141" s="14">
        <v>3.609</v>
      </c>
      <c r="F141" s="14">
        <v>3.609</v>
      </c>
      <c r="G141" s="16">
        <v>42654165</v>
      </c>
    </row>
    <row r="142" spans="1:7" x14ac:dyDescent="0.2">
      <c r="A142" s="1">
        <v>45243</v>
      </c>
      <c r="B142" s="14">
        <v>3.6219999999999999</v>
      </c>
      <c r="C142" s="14">
        <v>3.65</v>
      </c>
      <c r="D142" s="14">
        <v>3.6190000000000002</v>
      </c>
      <c r="E142" s="14">
        <v>3.65</v>
      </c>
      <c r="F142" s="14">
        <v>3.65</v>
      </c>
      <c r="G142" s="16">
        <v>26206164</v>
      </c>
    </row>
    <row r="143" spans="1:7" x14ac:dyDescent="0.2">
      <c r="A143" s="1">
        <v>45244</v>
      </c>
      <c r="B143" s="14">
        <v>3.65</v>
      </c>
      <c r="C143" s="14">
        <v>3.6945000000000001</v>
      </c>
      <c r="D143" s="14">
        <v>3.6375000000000002</v>
      </c>
      <c r="E143" s="14">
        <v>3.6835</v>
      </c>
      <c r="F143" s="14">
        <v>3.6835</v>
      </c>
      <c r="G143" s="16">
        <v>40148908</v>
      </c>
    </row>
    <row r="144" spans="1:7" x14ac:dyDescent="0.2">
      <c r="A144" s="1">
        <v>45245</v>
      </c>
      <c r="B144" s="14">
        <v>3.6890000000000001</v>
      </c>
      <c r="C144" s="14">
        <v>3.7</v>
      </c>
      <c r="D144" s="14">
        <v>3.6625000000000001</v>
      </c>
      <c r="E144" s="14">
        <v>3.67</v>
      </c>
      <c r="F144" s="14">
        <v>3.67</v>
      </c>
      <c r="G144" s="16">
        <v>39983364</v>
      </c>
    </row>
    <row r="145" spans="1:7" x14ac:dyDescent="0.2">
      <c r="A145" s="1">
        <v>45246</v>
      </c>
      <c r="B145" s="14">
        <v>3.6749999999999998</v>
      </c>
      <c r="C145" s="14">
        <v>3.7294999999999998</v>
      </c>
      <c r="D145" s="14">
        <v>3.6749999999999998</v>
      </c>
      <c r="E145" s="14">
        <v>3.69</v>
      </c>
      <c r="F145" s="14">
        <v>3.69</v>
      </c>
      <c r="G145" s="16">
        <v>34850709</v>
      </c>
    </row>
    <row r="146" spans="1:7" x14ac:dyDescent="0.2">
      <c r="A146" s="1">
        <v>45247</v>
      </c>
      <c r="B146" s="14">
        <v>3.7</v>
      </c>
      <c r="C146" s="14">
        <v>3.7290000000000001</v>
      </c>
      <c r="D146" s="14">
        <v>3.69</v>
      </c>
      <c r="E146" s="14">
        <v>3.7235</v>
      </c>
      <c r="F146" s="14">
        <v>3.7235</v>
      </c>
      <c r="G146" s="16">
        <v>65573690</v>
      </c>
    </row>
    <row r="147" spans="1:7" x14ac:dyDescent="0.2">
      <c r="A147" s="1">
        <v>45250</v>
      </c>
      <c r="B147" s="14">
        <v>3.73</v>
      </c>
      <c r="C147" s="14">
        <v>3.7675000000000001</v>
      </c>
      <c r="D147" s="14">
        <v>3.726</v>
      </c>
      <c r="E147" s="14">
        <v>3.734</v>
      </c>
      <c r="F147" s="14">
        <v>3.734</v>
      </c>
      <c r="G147" s="16">
        <v>27461572</v>
      </c>
    </row>
    <row r="148" spans="1:7" x14ac:dyDescent="0.2">
      <c r="A148" s="1">
        <v>45251</v>
      </c>
      <c r="B148" s="14">
        <v>3.7134999999999998</v>
      </c>
      <c r="C148" s="14">
        <v>3.7275</v>
      </c>
      <c r="D148" s="14">
        <v>3.6909999999999998</v>
      </c>
      <c r="E148" s="14">
        <v>3.726</v>
      </c>
      <c r="F148" s="14">
        <v>3.726</v>
      </c>
      <c r="G148" s="16">
        <v>17106225</v>
      </c>
    </row>
    <row r="149" spans="1:7" x14ac:dyDescent="0.2">
      <c r="A149" s="1">
        <v>45252</v>
      </c>
      <c r="B149" s="14">
        <v>3.7355</v>
      </c>
      <c r="C149" s="14">
        <v>3.7549999999999999</v>
      </c>
      <c r="D149" s="14">
        <v>3.7174999999999998</v>
      </c>
      <c r="E149" s="14">
        <v>3.7465000000000002</v>
      </c>
      <c r="F149" s="14">
        <v>3.7465000000000002</v>
      </c>
      <c r="G149" s="16">
        <v>27335636</v>
      </c>
    </row>
    <row r="150" spans="1:7" x14ac:dyDescent="0.2">
      <c r="A150" s="1">
        <v>45253</v>
      </c>
      <c r="B150" s="14">
        <v>3.7404999999999999</v>
      </c>
      <c r="C150" s="14">
        <v>3.766</v>
      </c>
      <c r="D150" s="14">
        <v>3.7315</v>
      </c>
      <c r="E150" s="14">
        <v>3.7605</v>
      </c>
      <c r="F150" s="14">
        <v>3.7605</v>
      </c>
      <c r="G150" s="16">
        <v>19229828</v>
      </c>
    </row>
    <row r="151" spans="1:7" x14ac:dyDescent="0.2">
      <c r="A151" s="1">
        <v>45254</v>
      </c>
      <c r="B151" s="14">
        <v>3.77</v>
      </c>
      <c r="C151" s="14">
        <v>3.7765</v>
      </c>
      <c r="D151" s="14">
        <v>3.7559999999999998</v>
      </c>
      <c r="E151" s="14">
        <v>3.7679999999999998</v>
      </c>
      <c r="F151" s="14">
        <v>3.7679999999999998</v>
      </c>
      <c r="G151" s="16">
        <v>20252178</v>
      </c>
    </row>
    <row r="152" spans="1:7" x14ac:dyDescent="0.2">
      <c r="A152" s="1">
        <v>45257</v>
      </c>
      <c r="B152" s="14">
        <v>3.7559999999999998</v>
      </c>
      <c r="C152" s="14">
        <v>3.7665000000000002</v>
      </c>
      <c r="D152" s="14">
        <v>3.7084999999999999</v>
      </c>
      <c r="E152" s="14">
        <v>3.7195</v>
      </c>
      <c r="F152" s="14">
        <v>3.7195</v>
      </c>
      <c r="G152" s="16">
        <v>29020618</v>
      </c>
    </row>
    <row r="153" spans="1:7" x14ac:dyDescent="0.2">
      <c r="A153" s="1">
        <v>45258</v>
      </c>
      <c r="B153" s="14">
        <v>3.7065000000000001</v>
      </c>
      <c r="C153" s="14">
        <v>3.7795000000000001</v>
      </c>
      <c r="D153" s="14">
        <v>3.7065000000000001</v>
      </c>
      <c r="E153" s="14">
        <v>3.7795000000000001</v>
      </c>
      <c r="F153" s="14">
        <v>3.7795000000000001</v>
      </c>
      <c r="G153" s="16">
        <v>31244594</v>
      </c>
    </row>
    <row r="154" spans="1:7" x14ac:dyDescent="0.2">
      <c r="A154" s="1">
        <v>45259</v>
      </c>
      <c r="B154" s="14">
        <v>3.77</v>
      </c>
      <c r="C154" s="14">
        <v>3.8109999999999999</v>
      </c>
      <c r="D154" s="14">
        <v>3.7629999999999999</v>
      </c>
      <c r="E154" s="14">
        <v>3.798</v>
      </c>
      <c r="F154" s="14">
        <v>3.798</v>
      </c>
      <c r="G154" s="16">
        <v>45463581</v>
      </c>
    </row>
    <row r="155" spans="1:7" x14ac:dyDescent="0.2">
      <c r="A155" s="1">
        <v>45260</v>
      </c>
      <c r="B155" s="14">
        <v>3.82</v>
      </c>
      <c r="C155" s="14">
        <v>3.8395000000000001</v>
      </c>
      <c r="D155" s="14">
        <v>3.7885</v>
      </c>
      <c r="E155" s="14">
        <v>3.8010000000000002</v>
      </c>
      <c r="F155" s="14">
        <v>3.8010000000000002</v>
      </c>
      <c r="G155" s="16">
        <v>66558689</v>
      </c>
    </row>
    <row r="156" spans="1:7" x14ac:dyDescent="0.2">
      <c r="A156" s="1">
        <v>45261</v>
      </c>
      <c r="B156" s="14">
        <v>3.8260000000000001</v>
      </c>
      <c r="C156" s="14">
        <v>3.8370000000000002</v>
      </c>
      <c r="D156" s="14">
        <v>3.8075000000000001</v>
      </c>
      <c r="E156" s="14">
        <v>3.8370000000000002</v>
      </c>
      <c r="F156" s="14">
        <v>3.8370000000000002</v>
      </c>
      <c r="G156" s="16">
        <v>37058506</v>
      </c>
    </row>
    <row r="157" spans="1:7" x14ac:dyDescent="0.2">
      <c r="A157" s="1">
        <v>45264</v>
      </c>
      <c r="B157" s="14">
        <v>3.8250000000000002</v>
      </c>
      <c r="C157" s="14">
        <v>3.85</v>
      </c>
      <c r="D157" s="14">
        <v>3.8079999999999998</v>
      </c>
      <c r="E157" s="14">
        <v>3.8479999999999999</v>
      </c>
      <c r="F157" s="14">
        <v>3.8479999999999999</v>
      </c>
      <c r="G157" s="16">
        <v>23421657</v>
      </c>
    </row>
    <row r="158" spans="1:7" x14ac:dyDescent="0.2">
      <c r="A158" s="1">
        <v>45265</v>
      </c>
      <c r="B158" s="14">
        <v>3.8460000000000001</v>
      </c>
      <c r="C158" s="14">
        <v>3.9255</v>
      </c>
      <c r="D158" s="14">
        <v>3.8420000000000001</v>
      </c>
      <c r="E158" s="14">
        <v>3.92</v>
      </c>
      <c r="F158" s="14">
        <v>3.92</v>
      </c>
      <c r="G158" s="16">
        <v>40476392</v>
      </c>
    </row>
    <row r="159" spans="1:7" x14ac:dyDescent="0.2">
      <c r="A159" s="1">
        <v>45266</v>
      </c>
      <c r="B159" s="14">
        <v>3.94</v>
      </c>
      <c r="C159" s="14">
        <v>3.9695</v>
      </c>
      <c r="D159" s="14">
        <v>3.9140000000000001</v>
      </c>
      <c r="E159" s="14">
        <v>3.9565000000000001</v>
      </c>
      <c r="F159" s="14">
        <v>3.9565000000000001</v>
      </c>
      <c r="G159" s="16">
        <v>36152185</v>
      </c>
    </row>
    <row r="160" spans="1:7" x14ac:dyDescent="0.2">
      <c r="A160" s="1">
        <v>45267</v>
      </c>
      <c r="B160" s="14">
        <v>3.9405000000000001</v>
      </c>
      <c r="C160" s="14">
        <v>3.9664999999999999</v>
      </c>
      <c r="D160" s="14">
        <v>3.8109999999999999</v>
      </c>
      <c r="E160" s="14">
        <v>3.8654999999999999</v>
      </c>
      <c r="F160" s="14">
        <v>3.8654999999999999</v>
      </c>
      <c r="G160" s="16">
        <v>48801259</v>
      </c>
    </row>
    <row r="161" spans="1:7" x14ac:dyDescent="0.2">
      <c r="A161" s="1">
        <v>45268</v>
      </c>
      <c r="B161" s="14">
        <v>3.8805000000000001</v>
      </c>
      <c r="C161" s="14">
        <v>3.9495</v>
      </c>
      <c r="D161" s="14">
        <v>3.86</v>
      </c>
      <c r="E161" s="14">
        <v>3.94</v>
      </c>
      <c r="F161" s="14">
        <v>3.94</v>
      </c>
      <c r="G161" s="16">
        <v>29119780</v>
      </c>
    </row>
    <row r="162" spans="1:7" x14ac:dyDescent="0.2">
      <c r="A162" s="1">
        <v>45271</v>
      </c>
      <c r="B162" s="14">
        <v>3.9285000000000001</v>
      </c>
      <c r="C162" s="14">
        <v>3.95</v>
      </c>
      <c r="D162" s="14">
        <v>3.9129999999999998</v>
      </c>
      <c r="E162" s="14">
        <v>3.9409999999999998</v>
      </c>
      <c r="F162" s="14">
        <v>3.9409999999999998</v>
      </c>
      <c r="G162" s="16">
        <v>27851835</v>
      </c>
    </row>
    <row r="163" spans="1:7" x14ac:dyDescent="0.2">
      <c r="A163" s="1">
        <v>45272</v>
      </c>
      <c r="B163" s="14">
        <v>3.944</v>
      </c>
      <c r="C163" s="14">
        <v>3.9474999999999998</v>
      </c>
      <c r="D163" s="14">
        <v>3.8715000000000002</v>
      </c>
      <c r="E163" s="14">
        <v>3.8755000000000002</v>
      </c>
      <c r="F163" s="14">
        <v>3.8755000000000002</v>
      </c>
      <c r="G163" s="16">
        <v>52436443</v>
      </c>
    </row>
    <row r="164" spans="1:7" x14ac:dyDescent="0.2">
      <c r="A164" s="1">
        <v>45273</v>
      </c>
      <c r="B164" s="14">
        <v>3.8584999999999998</v>
      </c>
      <c r="C164" s="14">
        <v>3.88</v>
      </c>
      <c r="D164" s="14">
        <v>3.8220000000000001</v>
      </c>
      <c r="E164" s="14">
        <v>3.8380000000000001</v>
      </c>
      <c r="F164" s="14">
        <v>3.8380000000000001</v>
      </c>
      <c r="G164" s="16">
        <v>38266823</v>
      </c>
    </row>
    <row r="165" spans="1:7" x14ac:dyDescent="0.2">
      <c r="A165" s="1">
        <v>45274</v>
      </c>
      <c r="B165" s="14">
        <v>3.89</v>
      </c>
      <c r="C165" s="14">
        <v>3.8980000000000001</v>
      </c>
      <c r="D165" s="14">
        <v>3.8279999999999998</v>
      </c>
      <c r="E165" s="14">
        <v>3.8839999999999999</v>
      </c>
      <c r="F165" s="14">
        <v>3.8839999999999999</v>
      </c>
      <c r="G165" s="16">
        <v>39510953</v>
      </c>
    </row>
    <row r="166" spans="1:7" x14ac:dyDescent="0.2">
      <c r="A166" s="1">
        <v>45275</v>
      </c>
      <c r="B166" s="14">
        <v>3.9</v>
      </c>
      <c r="C166" s="14">
        <v>3.9035000000000002</v>
      </c>
      <c r="D166" s="14">
        <v>3.7814999999999999</v>
      </c>
      <c r="E166" s="14">
        <v>3.7995000000000001</v>
      </c>
      <c r="F166" s="14">
        <v>3.7995000000000001</v>
      </c>
      <c r="G166" s="16">
        <v>111210071</v>
      </c>
    </row>
    <row r="167" spans="1:7" x14ac:dyDescent="0.2">
      <c r="A167" s="1">
        <v>45278</v>
      </c>
      <c r="B167" s="14">
        <v>3.79</v>
      </c>
      <c r="C167" s="14">
        <v>3.8245</v>
      </c>
      <c r="D167" s="14">
        <v>3.7639999999999998</v>
      </c>
      <c r="E167" s="14">
        <v>3.7879999999999998</v>
      </c>
      <c r="F167" s="14">
        <v>3.7879999999999998</v>
      </c>
      <c r="G167" s="16">
        <v>48825182</v>
      </c>
    </row>
    <row r="168" spans="1:7" x14ac:dyDescent="0.2">
      <c r="A168" s="1">
        <v>45279</v>
      </c>
      <c r="B168" s="14">
        <v>3.7770000000000001</v>
      </c>
      <c r="C168" s="14">
        <v>3.7995000000000001</v>
      </c>
      <c r="D168" s="14">
        <v>3.7605</v>
      </c>
      <c r="E168" s="14">
        <v>3.7925</v>
      </c>
      <c r="F168" s="14">
        <v>3.7925</v>
      </c>
      <c r="G168" s="16">
        <v>25538140</v>
      </c>
    </row>
    <row r="169" spans="1:7" x14ac:dyDescent="0.2">
      <c r="A169" s="1">
        <v>45280</v>
      </c>
      <c r="B169" s="14">
        <v>3.8</v>
      </c>
      <c r="C169" s="14">
        <v>3.8125</v>
      </c>
      <c r="D169" s="14">
        <v>3.7355</v>
      </c>
      <c r="E169" s="14">
        <v>3.7890000000000001</v>
      </c>
      <c r="F169" s="14">
        <v>3.7890000000000001</v>
      </c>
      <c r="G169" s="16">
        <v>27342468</v>
      </c>
    </row>
    <row r="170" spans="1:7" x14ac:dyDescent="0.2">
      <c r="A170" s="1">
        <v>45281</v>
      </c>
      <c r="B170" s="14">
        <v>3.7875000000000001</v>
      </c>
      <c r="C170" s="14">
        <v>3.8079999999999998</v>
      </c>
      <c r="D170" s="14">
        <v>3.7589999999999999</v>
      </c>
      <c r="E170" s="14">
        <v>3.7930000000000001</v>
      </c>
      <c r="F170" s="14">
        <v>3.7930000000000001</v>
      </c>
      <c r="G170" s="16">
        <v>15816650</v>
      </c>
    </row>
    <row r="171" spans="1:7" x14ac:dyDescent="0.2">
      <c r="A171" s="1">
        <v>45282</v>
      </c>
      <c r="B171" s="14">
        <v>3.7905000000000002</v>
      </c>
      <c r="C171" s="14">
        <v>3.827</v>
      </c>
      <c r="D171" s="14">
        <v>3.7850000000000001</v>
      </c>
      <c r="E171" s="14">
        <v>3.8079999999999998</v>
      </c>
      <c r="F171" s="14">
        <v>3.8079999999999998</v>
      </c>
      <c r="G171" s="16">
        <v>20983223</v>
      </c>
    </row>
    <row r="172" spans="1:7" x14ac:dyDescent="0.2">
      <c r="A172" s="1">
        <v>45287</v>
      </c>
      <c r="B172" s="14">
        <v>3.7869999999999999</v>
      </c>
      <c r="C172" s="14">
        <v>3.8170000000000002</v>
      </c>
      <c r="D172" s="14">
        <v>3.7595000000000001</v>
      </c>
      <c r="E172" s="14">
        <v>3.81</v>
      </c>
      <c r="F172" s="14">
        <v>3.81</v>
      </c>
      <c r="G172" s="16">
        <v>33514637</v>
      </c>
    </row>
    <row r="173" spans="1:7" x14ac:dyDescent="0.2">
      <c r="A173" s="1">
        <v>45288</v>
      </c>
      <c r="B173" s="14">
        <v>3.8140000000000001</v>
      </c>
      <c r="C173" s="14">
        <v>3.8174999999999999</v>
      </c>
      <c r="D173" s="14">
        <v>3.7749999999999999</v>
      </c>
      <c r="E173" s="14">
        <v>3.7875000000000001</v>
      </c>
      <c r="F173" s="14">
        <v>3.7875000000000001</v>
      </c>
      <c r="G173" s="16">
        <v>17505114</v>
      </c>
    </row>
    <row r="174" spans="1:7" x14ac:dyDescent="0.2">
      <c r="A174" s="1">
        <v>45289</v>
      </c>
      <c r="B174" s="14">
        <v>3.7854999999999999</v>
      </c>
      <c r="C174" s="14">
        <v>3.802</v>
      </c>
      <c r="D174" s="14">
        <v>3.7719999999999998</v>
      </c>
      <c r="E174" s="14">
        <v>3.7795000000000001</v>
      </c>
      <c r="F174" s="14">
        <v>3.7795000000000001</v>
      </c>
      <c r="G174" s="16">
        <v>15848727</v>
      </c>
    </row>
    <row r="175" spans="1:7" x14ac:dyDescent="0.2">
      <c r="A175" s="1">
        <v>45293</v>
      </c>
      <c r="B175" s="14">
        <v>3.79</v>
      </c>
      <c r="C175" s="14">
        <v>3.89</v>
      </c>
      <c r="D175" s="14">
        <v>3.7894999999999999</v>
      </c>
      <c r="E175" s="14">
        <v>3.8534999999999999</v>
      </c>
      <c r="F175" s="14">
        <v>3.8534999999999999</v>
      </c>
      <c r="G175" s="16">
        <v>33031875</v>
      </c>
    </row>
    <row r="176" spans="1:7" x14ac:dyDescent="0.2">
      <c r="A176" s="1">
        <v>45294</v>
      </c>
      <c r="B176" s="14">
        <v>3.87</v>
      </c>
      <c r="C176" s="14">
        <v>3.88</v>
      </c>
      <c r="D176" s="14">
        <v>3.7890000000000001</v>
      </c>
      <c r="E176" s="14">
        <v>3.7995000000000001</v>
      </c>
      <c r="F176" s="14">
        <v>3.7995000000000001</v>
      </c>
      <c r="G176" s="16">
        <v>25083126</v>
      </c>
    </row>
    <row r="177" spans="1:7" x14ac:dyDescent="0.2">
      <c r="A177" s="1">
        <v>45295</v>
      </c>
      <c r="B177" s="14">
        <v>3.8010000000000002</v>
      </c>
      <c r="C177" s="14">
        <v>3.8824999999999998</v>
      </c>
      <c r="D177" s="14">
        <v>3.8010000000000002</v>
      </c>
      <c r="E177" s="14">
        <v>3.88</v>
      </c>
      <c r="F177" s="14">
        <v>3.88</v>
      </c>
      <c r="G177" s="16">
        <v>22951596</v>
      </c>
    </row>
    <row r="178" spans="1:7" x14ac:dyDescent="0.2">
      <c r="A178" s="1">
        <v>45296</v>
      </c>
      <c r="B178" s="14">
        <v>3.859</v>
      </c>
      <c r="C178" s="14">
        <v>3.9394999999999998</v>
      </c>
      <c r="D178" s="14">
        <v>3.8420000000000001</v>
      </c>
      <c r="E178" s="14">
        <v>3.9125000000000001</v>
      </c>
      <c r="F178" s="14">
        <v>3.9125000000000001</v>
      </c>
      <c r="G178" s="16">
        <v>30772699</v>
      </c>
    </row>
    <row r="179" spans="1:7" x14ac:dyDescent="0.2">
      <c r="A179" s="1">
        <v>45299</v>
      </c>
      <c r="B179" s="14">
        <v>3.9</v>
      </c>
      <c r="C179" s="14">
        <v>3.94</v>
      </c>
      <c r="D179" s="14">
        <v>3.8704999999999998</v>
      </c>
      <c r="E179" s="14">
        <v>3.9295</v>
      </c>
      <c r="F179" s="14">
        <v>3.9295</v>
      </c>
      <c r="G179" s="16">
        <v>19616790</v>
      </c>
    </row>
    <row r="180" spans="1:7" x14ac:dyDescent="0.2">
      <c r="A180" s="1">
        <v>45300</v>
      </c>
      <c r="B180" s="14">
        <v>3.9224999999999999</v>
      </c>
      <c r="C180" s="14">
        <v>3.9224999999999999</v>
      </c>
      <c r="D180" s="14">
        <v>3.8570000000000002</v>
      </c>
      <c r="E180" s="14">
        <v>3.8915000000000002</v>
      </c>
      <c r="F180" s="14">
        <v>3.8915000000000002</v>
      </c>
      <c r="G180" s="16">
        <v>24700756</v>
      </c>
    </row>
    <row r="181" spans="1:7" x14ac:dyDescent="0.2">
      <c r="A181" s="1">
        <v>45301</v>
      </c>
      <c r="B181" s="14">
        <v>3.8690000000000002</v>
      </c>
      <c r="C181" s="14">
        <v>3.883</v>
      </c>
      <c r="D181" s="14">
        <v>3.8344999999999998</v>
      </c>
      <c r="E181" s="14">
        <v>3.8490000000000002</v>
      </c>
      <c r="F181" s="14">
        <v>3.8490000000000002</v>
      </c>
      <c r="G181" s="16">
        <v>23406946</v>
      </c>
    </row>
    <row r="182" spans="1:7" x14ac:dyDescent="0.2">
      <c r="A182" s="1">
        <v>45302</v>
      </c>
      <c r="B182" s="14">
        <v>3.88</v>
      </c>
      <c r="C182" s="14">
        <v>3.88</v>
      </c>
      <c r="D182" s="14">
        <v>3.7930000000000001</v>
      </c>
      <c r="E182" s="14">
        <v>3.7930000000000001</v>
      </c>
      <c r="F182" s="14">
        <v>3.7930000000000001</v>
      </c>
      <c r="G182" s="16">
        <v>33271015</v>
      </c>
    </row>
    <row r="183" spans="1:7" x14ac:dyDescent="0.2">
      <c r="A183" s="1">
        <v>45303</v>
      </c>
      <c r="B183" s="14">
        <v>3.8045</v>
      </c>
      <c r="C183" s="14">
        <v>3.84</v>
      </c>
      <c r="D183" s="14">
        <v>3.7879999999999998</v>
      </c>
      <c r="E183" s="14">
        <v>3.8014999999999999</v>
      </c>
      <c r="F183" s="14">
        <v>3.8014999999999999</v>
      </c>
      <c r="G183" s="16">
        <v>25541171</v>
      </c>
    </row>
    <row r="184" spans="1:7" x14ac:dyDescent="0.2">
      <c r="A184" s="1">
        <v>45306</v>
      </c>
      <c r="B184" s="14">
        <v>3.7810000000000001</v>
      </c>
      <c r="C184" s="14">
        <v>3.7930000000000001</v>
      </c>
      <c r="D184" s="14">
        <v>3.76</v>
      </c>
      <c r="E184" s="14">
        <v>3.76</v>
      </c>
      <c r="F184" s="14">
        <v>3.76</v>
      </c>
      <c r="G184" s="16">
        <v>23138604</v>
      </c>
    </row>
    <row r="185" spans="1:7" x14ac:dyDescent="0.2">
      <c r="A185" s="1">
        <v>45307</v>
      </c>
      <c r="B185" s="14">
        <v>3.74</v>
      </c>
      <c r="C185" s="14">
        <v>3.7440000000000002</v>
      </c>
      <c r="D185" s="14">
        <v>3.6924999999999999</v>
      </c>
      <c r="E185" s="14">
        <v>3.7145000000000001</v>
      </c>
      <c r="F185" s="14">
        <v>3.7145000000000001</v>
      </c>
      <c r="G185" s="16">
        <v>29662733</v>
      </c>
    </row>
    <row r="186" spans="1:7" x14ac:dyDescent="0.2">
      <c r="A186" s="1">
        <v>45308</v>
      </c>
      <c r="B186" s="14">
        <v>3.68</v>
      </c>
      <c r="C186" s="14">
        <v>3.69</v>
      </c>
      <c r="D186" s="14">
        <v>3.6480000000000001</v>
      </c>
      <c r="E186" s="14">
        <v>3.6644999999999999</v>
      </c>
      <c r="F186" s="14">
        <v>3.6644999999999999</v>
      </c>
      <c r="G186" s="16">
        <v>29641889</v>
      </c>
    </row>
    <row r="187" spans="1:7" x14ac:dyDescent="0.2">
      <c r="A187" s="1">
        <v>45309</v>
      </c>
      <c r="B187" s="14">
        <v>3.67</v>
      </c>
      <c r="C187" s="14">
        <v>3.7235</v>
      </c>
      <c r="D187" s="14">
        <v>3.6349999999999998</v>
      </c>
      <c r="E187" s="14">
        <v>3.7174999999999998</v>
      </c>
      <c r="F187" s="14">
        <v>3.7174999999999998</v>
      </c>
      <c r="G187" s="16">
        <v>44302282</v>
      </c>
    </row>
    <row r="188" spans="1:7" x14ac:dyDescent="0.2">
      <c r="A188" s="1">
        <v>45310</v>
      </c>
      <c r="B188" s="14">
        <v>3.7305000000000001</v>
      </c>
      <c r="C188" s="14">
        <v>3.7475000000000001</v>
      </c>
      <c r="D188" s="14">
        <v>3.6970000000000001</v>
      </c>
      <c r="E188" s="14">
        <v>3.71</v>
      </c>
      <c r="F188" s="14">
        <v>3.71</v>
      </c>
      <c r="G188" s="16">
        <v>26529352</v>
      </c>
    </row>
    <row r="189" spans="1:7" x14ac:dyDescent="0.2">
      <c r="A189" s="1">
        <v>45313</v>
      </c>
      <c r="B189" s="14">
        <v>3.75</v>
      </c>
      <c r="C189" s="14">
        <v>3.7789999999999999</v>
      </c>
      <c r="D189" s="14">
        <v>3.7330000000000001</v>
      </c>
      <c r="E189" s="14">
        <v>3.734</v>
      </c>
      <c r="F189" s="14">
        <v>3.734</v>
      </c>
      <c r="G189" s="16">
        <v>25321085</v>
      </c>
    </row>
    <row r="190" spans="1:7" x14ac:dyDescent="0.2">
      <c r="A190" s="1">
        <v>45314</v>
      </c>
      <c r="B190" s="14">
        <v>3.7374999999999998</v>
      </c>
      <c r="C190" s="14">
        <v>3.75</v>
      </c>
      <c r="D190" s="14">
        <v>3.6659999999999999</v>
      </c>
      <c r="E190" s="14">
        <v>3.6705000000000001</v>
      </c>
      <c r="F190" s="14">
        <v>3.6705000000000001</v>
      </c>
      <c r="G190" s="16">
        <v>24895238</v>
      </c>
    </row>
    <row r="191" spans="1:7" x14ac:dyDescent="0.2">
      <c r="A191" s="1">
        <v>45315</v>
      </c>
      <c r="B191" s="14">
        <v>3.6705000000000001</v>
      </c>
      <c r="C191" s="14">
        <v>3.7284999999999999</v>
      </c>
      <c r="D191" s="14">
        <v>3.67</v>
      </c>
      <c r="E191" s="14">
        <v>3.7284999999999999</v>
      </c>
      <c r="F191" s="14">
        <v>3.7284999999999999</v>
      </c>
      <c r="G191" s="16">
        <v>48095932</v>
      </c>
    </row>
    <row r="192" spans="1:7" x14ac:dyDescent="0.2">
      <c r="A192" s="1">
        <v>45316</v>
      </c>
      <c r="B192" s="14">
        <v>3.6920000000000002</v>
      </c>
      <c r="C192" s="14">
        <v>3.7090000000000001</v>
      </c>
      <c r="D192" s="14">
        <v>3.63</v>
      </c>
      <c r="E192" s="14">
        <v>3.63</v>
      </c>
      <c r="F192" s="14">
        <v>3.63</v>
      </c>
      <c r="G192" s="16">
        <v>41961445</v>
      </c>
    </row>
    <row r="193" spans="1:7" x14ac:dyDescent="0.2">
      <c r="A193" s="1">
        <v>45317</v>
      </c>
      <c r="B193" s="14">
        <v>3.625</v>
      </c>
      <c r="C193" s="14">
        <v>3.65</v>
      </c>
      <c r="D193" s="14">
        <v>3.6179999999999999</v>
      </c>
      <c r="E193" s="14">
        <v>3.6475</v>
      </c>
      <c r="F193" s="14">
        <v>3.6475</v>
      </c>
      <c r="G193" s="16">
        <v>22439026</v>
      </c>
    </row>
    <row r="194" spans="1:7" x14ac:dyDescent="0.2">
      <c r="A194" s="1">
        <v>45320</v>
      </c>
      <c r="B194" s="14">
        <v>3.645</v>
      </c>
      <c r="C194" s="14">
        <v>3.6575000000000002</v>
      </c>
      <c r="D194" s="14">
        <v>3.5720000000000001</v>
      </c>
      <c r="E194" s="14">
        <v>3.5720000000000001</v>
      </c>
      <c r="F194" s="14">
        <v>3.5720000000000001</v>
      </c>
      <c r="G194" s="16">
        <v>40655404</v>
      </c>
    </row>
    <row r="195" spans="1:7" x14ac:dyDescent="0.2">
      <c r="A195" s="1">
        <v>45321</v>
      </c>
      <c r="B195" s="14">
        <v>3.5754999999999999</v>
      </c>
      <c r="C195" s="14">
        <v>3.6715</v>
      </c>
      <c r="D195" s="14">
        <v>3.5630000000000002</v>
      </c>
      <c r="E195" s="14">
        <v>3.6595</v>
      </c>
      <c r="F195" s="14">
        <v>3.6595</v>
      </c>
      <c r="G195" s="16">
        <v>31334211</v>
      </c>
    </row>
    <row r="196" spans="1:7" x14ac:dyDescent="0.2">
      <c r="A196" s="1">
        <v>45322</v>
      </c>
      <c r="B196" s="14">
        <v>3.7665000000000002</v>
      </c>
      <c r="C196" s="14">
        <v>3.7734999999999999</v>
      </c>
      <c r="D196" s="14">
        <v>3.665</v>
      </c>
      <c r="E196" s="14">
        <v>3.7355</v>
      </c>
      <c r="F196" s="14">
        <v>3.7355</v>
      </c>
      <c r="G196" s="16">
        <v>58510049</v>
      </c>
    </row>
    <row r="197" spans="1:7" x14ac:dyDescent="0.2">
      <c r="A197" s="1">
        <v>45323</v>
      </c>
      <c r="B197" s="14">
        <v>3.76</v>
      </c>
      <c r="C197" s="14">
        <v>3.87</v>
      </c>
      <c r="D197" s="14">
        <v>3.7090000000000001</v>
      </c>
      <c r="E197" s="14">
        <v>3.74</v>
      </c>
      <c r="F197" s="14">
        <v>3.74</v>
      </c>
      <c r="G197" s="16">
        <v>50660263</v>
      </c>
    </row>
    <row r="198" spans="1:7" x14ac:dyDescent="0.2">
      <c r="A198" s="1">
        <v>45324</v>
      </c>
      <c r="B198" s="14">
        <v>3.7905000000000002</v>
      </c>
      <c r="C198" s="14">
        <v>3.8835000000000002</v>
      </c>
      <c r="D198" s="14">
        <v>3.7509999999999999</v>
      </c>
      <c r="E198" s="14">
        <v>3.8784999999999998</v>
      </c>
      <c r="F198" s="14">
        <v>3.8784999999999998</v>
      </c>
      <c r="G198" s="16">
        <v>39275393</v>
      </c>
    </row>
    <row r="199" spans="1:7" x14ac:dyDescent="0.2">
      <c r="A199" s="1">
        <v>45327</v>
      </c>
      <c r="B199" s="14">
        <v>3.8344999999999998</v>
      </c>
      <c r="C199" s="14">
        <v>3.8370000000000002</v>
      </c>
      <c r="D199" s="14">
        <v>3.641</v>
      </c>
      <c r="E199" s="14">
        <v>3.6844999999999999</v>
      </c>
      <c r="F199" s="14">
        <v>3.6844999999999999</v>
      </c>
      <c r="G199" s="16">
        <v>95402344</v>
      </c>
    </row>
    <row r="200" spans="1:7" x14ac:dyDescent="0.2">
      <c r="A200" s="1">
        <v>45328</v>
      </c>
      <c r="B200" s="14">
        <v>3.718</v>
      </c>
      <c r="C200" s="14">
        <v>3.7595000000000001</v>
      </c>
      <c r="D200" s="14">
        <v>3.7124999999999999</v>
      </c>
      <c r="E200" s="14">
        <v>3.7475000000000001</v>
      </c>
      <c r="F200" s="14">
        <v>3.7475000000000001</v>
      </c>
      <c r="G200" s="16">
        <v>49965519</v>
      </c>
    </row>
    <row r="201" spans="1:7" x14ac:dyDescent="0.2">
      <c r="A201" s="1">
        <v>45329</v>
      </c>
      <c r="B201" s="14">
        <v>3.74</v>
      </c>
      <c r="C201" s="14">
        <v>3.7725</v>
      </c>
      <c r="D201" s="14">
        <v>3.665</v>
      </c>
      <c r="E201" s="14">
        <v>3.6760000000000002</v>
      </c>
      <c r="F201" s="14">
        <v>3.6760000000000002</v>
      </c>
      <c r="G201" s="16">
        <v>36785892</v>
      </c>
    </row>
    <row r="202" spans="1:7" x14ac:dyDescent="0.2">
      <c r="A202" s="1">
        <v>45330</v>
      </c>
      <c r="B202" s="14">
        <v>3.7080000000000002</v>
      </c>
      <c r="C202" s="14">
        <v>3.7174999999999998</v>
      </c>
      <c r="D202" s="14">
        <v>3.6549999999999998</v>
      </c>
      <c r="E202" s="14">
        <v>3.6549999999999998</v>
      </c>
      <c r="F202" s="14">
        <v>3.6549999999999998</v>
      </c>
      <c r="G202" s="16">
        <v>40960470</v>
      </c>
    </row>
    <row r="203" spans="1:7" x14ac:dyDescent="0.2">
      <c r="A203" s="1">
        <v>45331</v>
      </c>
      <c r="B203" s="14">
        <v>3.65</v>
      </c>
      <c r="C203" s="14">
        <v>3.7084999999999999</v>
      </c>
      <c r="D203" s="14">
        <v>3.6425000000000001</v>
      </c>
      <c r="E203" s="14">
        <v>3.6749999999999998</v>
      </c>
      <c r="F203" s="14">
        <v>3.6749999999999998</v>
      </c>
      <c r="G203" s="16">
        <v>32868999</v>
      </c>
    </row>
    <row r="204" spans="1:7" x14ac:dyDescent="0.2">
      <c r="A204" s="1">
        <v>45334</v>
      </c>
      <c r="B204" s="14">
        <v>3.7069999999999999</v>
      </c>
      <c r="C204" s="14">
        <v>3.7174999999999998</v>
      </c>
      <c r="D204" s="14">
        <v>3.665</v>
      </c>
      <c r="E204" s="14">
        <v>3.7050000000000001</v>
      </c>
      <c r="F204" s="14">
        <v>3.7050000000000001</v>
      </c>
      <c r="G204" s="16">
        <v>14760052</v>
      </c>
    </row>
    <row r="205" spans="1:7" x14ac:dyDescent="0.2">
      <c r="A205" s="1">
        <v>45335</v>
      </c>
      <c r="B205" s="14">
        <v>3.7155</v>
      </c>
      <c r="C205" s="14">
        <v>3.7225000000000001</v>
      </c>
      <c r="D205" s="14">
        <v>3.6535000000000002</v>
      </c>
      <c r="E205" s="14">
        <v>3.6615000000000002</v>
      </c>
      <c r="F205" s="14">
        <v>3.6615000000000002</v>
      </c>
      <c r="G205" s="16">
        <v>23089248</v>
      </c>
    </row>
    <row r="206" spans="1:7" x14ac:dyDescent="0.2">
      <c r="A206" s="1">
        <v>45336</v>
      </c>
      <c r="B206" s="14">
        <v>3.6850000000000001</v>
      </c>
      <c r="C206" s="14">
        <v>3.7324999999999999</v>
      </c>
      <c r="D206" s="14">
        <v>3.6675</v>
      </c>
      <c r="E206" s="14">
        <v>3.669</v>
      </c>
      <c r="F206" s="14">
        <v>3.669</v>
      </c>
      <c r="G206" s="16">
        <v>26479695</v>
      </c>
    </row>
    <row r="207" spans="1:7" x14ac:dyDescent="0.2">
      <c r="A207" s="1">
        <v>45337</v>
      </c>
      <c r="B207" s="14">
        <v>3.6945000000000001</v>
      </c>
      <c r="C207" s="14">
        <v>3.6945000000000001</v>
      </c>
      <c r="D207" s="14">
        <v>3.6215000000000002</v>
      </c>
      <c r="E207" s="14">
        <v>3.6705000000000001</v>
      </c>
      <c r="F207" s="14">
        <v>3.6705000000000001</v>
      </c>
      <c r="G207" s="16">
        <v>28625433</v>
      </c>
    </row>
    <row r="208" spans="1:7" x14ac:dyDescent="0.2">
      <c r="A208" s="1">
        <v>45338</v>
      </c>
      <c r="B208" s="14">
        <v>3.6945000000000001</v>
      </c>
      <c r="C208" s="14">
        <v>3.7240000000000002</v>
      </c>
      <c r="D208" s="14">
        <v>3.6625000000000001</v>
      </c>
      <c r="E208" s="14">
        <v>3.673</v>
      </c>
      <c r="F208" s="14">
        <v>3.673</v>
      </c>
      <c r="G208" s="16">
        <v>39467066</v>
      </c>
    </row>
    <row r="209" spans="1:7" x14ac:dyDescent="0.2">
      <c r="A209" s="1">
        <v>45341</v>
      </c>
      <c r="B209" s="14">
        <v>3.6949999999999998</v>
      </c>
      <c r="C209" s="14">
        <v>3.7650000000000001</v>
      </c>
      <c r="D209" s="14">
        <v>3.6890000000000001</v>
      </c>
      <c r="E209" s="14">
        <v>3.7374999999999998</v>
      </c>
      <c r="F209" s="14">
        <v>3.7374999999999998</v>
      </c>
      <c r="G209" s="16">
        <v>22695112</v>
      </c>
    </row>
    <row r="210" spans="1:7" x14ac:dyDescent="0.2">
      <c r="A210" s="1">
        <v>45342</v>
      </c>
      <c r="B210" s="14">
        <v>3.7360000000000002</v>
      </c>
      <c r="C210" s="14">
        <v>3.8115000000000001</v>
      </c>
      <c r="D210" s="14">
        <v>3.7294999999999998</v>
      </c>
      <c r="E210" s="14">
        <v>3.8</v>
      </c>
      <c r="F210" s="14">
        <v>3.8</v>
      </c>
      <c r="G210" s="16">
        <v>34155311</v>
      </c>
    </row>
    <row r="211" spans="1:7" x14ac:dyDescent="0.2">
      <c r="A211" s="1">
        <v>45343</v>
      </c>
      <c r="B211" s="14">
        <v>3.8045</v>
      </c>
      <c r="C211" s="14">
        <v>3.8485</v>
      </c>
      <c r="D211" s="14">
        <v>3.782</v>
      </c>
      <c r="E211" s="14">
        <v>3.8165</v>
      </c>
      <c r="F211" s="14">
        <v>3.8165</v>
      </c>
      <c r="G211" s="16">
        <v>24513798</v>
      </c>
    </row>
    <row r="212" spans="1:7" x14ac:dyDescent="0.2">
      <c r="A212" s="1">
        <v>45344</v>
      </c>
      <c r="B212" s="14">
        <v>3.8374999999999999</v>
      </c>
      <c r="C212" s="14">
        <v>3.8694999999999999</v>
      </c>
      <c r="D212" s="14">
        <v>3.8205</v>
      </c>
      <c r="E212" s="14">
        <v>3.839</v>
      </c>
      <c r="F212" s="14">
        <v>3.839</v>
      </c>
      <c r="G212" s="16">
        <v>38545744</v>
      </c>
    </row>
    <row r="213" spans="1:7" x14ac:dyDescent="0.2">
      <c r="A213" s="1">
        <v>45345</v>
      </c>
      <c r="B213" s="14">
        <v>3.8304999999999998</v>
      </c>
      <c r="C213" s="14">
        <v>3.8479999999999999</v>
      </c>
      <c r="D213" s="14">
        <v>3.7915000000000001</v>
      </c>
      <c r="E213" s="14">
        <v>3.8344999999999998</v>
      </c>
      <c r="F213" s="14">
        <v>3.8344999999999998</v>
      </c>
      <c r="G213" s="16">
        <v>34570474</v>
      </c>
    </row>
    <row r="214" spans="1:7" x14ac:dyDescent="0.2">
      <c r="A214" s="1">
        <v>45348</v>
      </c>
      <c r="B214" s="14">
        <v>3.8184999999999998</v>
      </c>
      <c r="C214" s="14">
        <v>3.8460000000000001</v>
      </c>
      <c r="D214" s="14">
        <v>3.8149999999999999</v>
      </c>
      <c r="E214" s="14">
        <v>3.8205</v>
      </c>
      <c r="F214" s="14">
        <v>3.8205</v>
      </c>
      <c r="G214" s="16">
        <v>20432164</v>
      </c>
    </row>
    <row r="215" spans="1:7" x14ac:dyDescent="0.2">
      <c r="A215" s="1">
        <v>45349</v>
      </c>
      <c r="B215" s="14">
        <v>3.81</v>
      </c>
      <c r="C215" s="14">
        <v>3.8359999999999999</v>
      </c>
      <c r="D215" s="14">
        <v>3.7965</v>
      </c>
      <c r="E215" s="14">
        <v>3.8210000000000002</v>
      </c>
      <c r="F215" s="14">
        <v>3.8210000000000002</v>
      </c>
      <c r="G215" s="16">
        <v>25038322</v>
      </c>
    </row>
    <row r="216" spans="1:7" x14ac:dyDescent="0.2">
      <c r="A216" s="1">
        <v>45350</v>
      </c>
      <c r="B216" s="14">
        <v>3.8260000000000001</v>
      </c>
      <c r="C216" s="14">
        <v>3.8740000000000001</v>
      </c>
      <c r="D216" s="14">
        <v>3.8195000000000001</v>
      </c>
      <c r="E216" s="14">
        <v>3.859</v>
      </c>
      <c r="F216" s="14">
        <v>3.859</v>
      </c>
      <c r="G216" s="16">
        <v>25924470</v>
      </c>
    </row>
    <row r="217" spans="1:7" x14ac:dyDescent="0.2">
      <c r="A217" s="1">
        <v>45351</v>
      </c>
      <c r="B217" s="14">
        <v>3.8605</v>
      </c>
      <c r="C217" s="14">
        <v>3.8980000000000001</v>
      </c>
      <c r="D217" s="14">
        <v>3.8330000000000002</v>
      </c>
      <c r="E217" s="14">
        <v>3.8454999999999999</v>
      </c>
      <c r="F217" s="14">
        <v>3.8454999999999999</v>
      </c>
      <c r="G217" s="16">
        <v>48265445</v>
      </c>
    </row>
    <row r="218" spans="1:7" x14ac:dyDescent="0.2">
      <c r="A218" s="1">
        <v>45352</v>
      </c>
      <c r="B218" s="14">
        <v>3.8355000000000001</v>
      </c>
      <c r="C218" s="14">
        <v>3.8765000000000001</v>
      </c>
      <c r="D218" s="14">
        <v>3.8315000000000001</v>
      </c>
      <c r="E218" s="14">
        <v>3.8719999999999999</v>
      </c>
      <c r="F218" s="14">
        <v>3.8719999999999999</v>
      </c>
      <c r="G218" s="16">
        <v>28750040</v>
      </c>
    </row>
    <row r="219" spans="1:7" x14ac:dyDescent="0.2">
      <c r="A219" s="1">
        <v>45355</v>
      </c>
      <c r="B219" s="14">
        <v>3.8610000000000002</v>
      </c>
      <c r="C219" s="14">
        <v>3.8809999999999998</v>
      </c>
      <c r="D219" s="14">
        <v>3.843</v>
      </c>
      <c r="E219" s="14">
        <v>3.8559999999999999</v>
      </c>
      <c r="F219" s="14">
        <v>3.8559999999999999</v>
      </c>
      <c r="G219" s="16">
        <v>17903221</v>
      </c>
    </row>
    <row r="220" spans="1:7" x14ac:dyDescent="0.2">
      <c r="A220" s="1">
        <v>45356</v>
      </c>
      <c r="B220" s="14">
        <v>3.839</v>
      </c>
      <c r="C220" s="14">
        <v>3.867</v>
      </c>
      <c r="D220" s="14">
        <v>3.82</v>
      </c>
      <c r="E220" s="14">
        <v>3.8650000000000002</v>
      </c>
      <c r="F220" s="14">
        <v>3.8650000000000002</v>
      </c>
      <c r="G220" s="16">
        <v>29587613</v>
      </c>
    </row>
    <row r="221" spans="1:7" x14ac:dyDescent="0.2">
      <c r="A221" s="1">
        <v>45357</v>
      </c>
      <c r="B221" s="14">
        <v>3.8690000000000002</v>
      </c>
      <c r="C221" s="14">
        <v>3.9434999999999998</v>
      </c>
      <c r="D221" s="14">
        <v>3.8559999999999999</v>
      </c>
      <c r="E221" s="14">
        <v>3.907</v>
      </c>
      <c r="F221" s="14">
        <v>3.907</v>
      </c>
      <c r="G221" s="16">
        <v>35783296</v>
      </c>
    </row>
    <row r="222" spans="1:7" x14ac:dyDescent="0.2">
      <c r="A222" s="1">
        <v>45358</v>
      </c>
      <c r="B222" s="14">
        <v>3.8935</v>
      </c>
      <c r="C222" s="14">
        <v>3.996</v>
      </c>
      <c r="D222" s="14">
        <v>3.8919999999999999</v>
      </c>
      <c r="E222" s="14">
        <v>3.9805000000000001</v>
      </c>
      <c r="F222" s="14">
        <v>3.9805000000000001</v>
      </c>
      <c r="G222" s="16">
        <v>43155499</v>
      </c>
    </row>
    <row r="223" spans="1:7" x14ac:dyDescent="0.2">
      <c r="A223" s="1">
        <v>45359</v>
      </c>
      <c r="B223" s="14">
        <v>3.98</v>
      </c>
      <c r="C223" s="14">
        <v>4.03</v>
      </c>
      <c r="D223" s="14">
        <v>3.9775</v>
      </c>
      <c r="E223" s="14">
        <v>3.9925000000000002</v>
      </c>
      <c r="F223" s="14">
        <v>3.9925000000000002</v>
      </c>
      <c r="G223" s="16">
        <v>40875306</v>
      </c>
    </row>
    <row r="224" spans="1:7" x14ac:dyDescent="0.2">
      <c r="A224" s="1">
        <v>45362</v>
      </c>
      <c r="B224" s="14">
        <v>3.9554999999999998</v>
      </c>
      <c r="C224" s="14">
        <v>3.9944999999999999</v>
      </c>
      <c r="D224" s="14">
        <v>3.94</v>
      </c>
      <c r="E224" s="14">
        <v>3.984</v>
      </c>
      <c r="F224" s="14">
        <v>3.984</v>
      </c>
      <c r="G224" s="16">
        <v>33465839</v>
      </c>
    </row>
    <row r="225" spans="1:7" x14ac:dyDescent="0.2">
      <c r="A225" s="1">
        <v>45363</v>
      </c>
      <c r="B225" s="14">
        <v>4</v>
      </c>
      <c r="C225" s="14">
        <v>4.0579999999999998</v>
      </c>
      <c r="D225" s="14">
        <v>3.98</v>
      </c>
      <c r="E225" s="14">
        <v>4.0579999999999998</v>
      </c>
      <c r="F225" s="14">
        <v>4.0579999999999998</v>
      </c>
      <c r="G225" s="16">
        <v>43115534</v>
      </c>
    </row>
    <row r="226" spans="1:7" x14ac:dyDescent="0.2">
      <c r="A226" s="1">
        <v>45364</v>
      </c>
      <c r="B226" s="14">
        <v>4.0490000000000004</v>
      </c>
      <c r="C226" s="14">
        <v>4.1040000000000001</v>
      </c>
      <c r="D226" s="14">
        <v>4.04</v>
      </c>
      <c r="E226" s="14">
        <v>4.093</v>
      </c>
      <c r="F226" s="14">
        <v>4.093</v>
      </c>
      <c r="G226" s="16">
        <v>36773177</v>
      </c>
    </row>
    <row r="227" spans="1:7" x14ac:dyDescent="0.2">
      <c r="A227" s="1">
        <v>45365</v>
      </c>
      <c r="B227" s="14">
        <v>4.08</v>
      </c>
      <c r="C227" s="14">
        <v>4.0914999999999999</v>
      </c>
      <c r="D227" s="14">
        <v>4.03</v>
      </c>
      <c r="E227" s="14">
        <v>4.0484999999999998</v>
      </c>
      <c r="F227" s="14">
        <v>4.0484999999999998</v>
      </c>
      <c r="G227" s="16">
        <v>41972957</v>
      </c>
    </row>
    <row r="228" spans="1:7" x14ac:dyDescent="0.2">
      <c r="A228" s="1">
        <v>45366</v>
      </c>
      <c r="B228" s="14">
        <v>4.0274999999999999</v>
      </c>
      <c r="C228" s="14">
        <v>4.1230000000000002</v>
      </c>
      <c r="D228" s="14">
        <v>4.0274999999999999</v>
      </c>
      <c r="E228" s="14">
        <v>4.1174999999999997</v>
      </c>
      <c r="F228" s="14">
        <v>4.1174999999999997</v>
      </c>
      <c r="G228" s="16">
        <v>102288886</v>
      </c>
    </row>
    <row r="229" spans="1:7" x14ac:dyDescent="0.2">
      <c r="A229" s="1">
        <v>45369</v>
      </c>
      <c r="B229" s="14">
        <v>4.1070000000000002</v>
      </c>
      <c r="C229" s="14">
        <v>4.1459999999999999</v>
      </c>
      <c r="D229" s="14">
        <v>4.093</v>
      </c>
      <c r="E229" s="14">
        <v>4.1375000000000002</v>
      </c>
      <c r="F229" s="14">
        <v>4.1375000000000002</v>
      </c>
      <c r="G229" s="16">
        <v>23770102</v>
      </c>
    </row>
    <row r="230" spans="1:7" x14ac:dyDescent="0.2">
      <c r="A230" s="1">
        <v>45370</v>
      </c>
      <c r="B230" s="14">
        <v>4.1464999999999996</v>
      </c>
      <c r="C230" s="14">
        <v>4.1890000000000001</v>
      </c>
      <c r="D230" s="14">
        <v>4.1360000000000001</v>
      </c>
      <c r="E230" s="14">
        <v>4.1890000000000001</v>
      </c>
      <c r="F230" s="14">
        <v>4.1890000000000001</v>
      </c>
      <c r="G230" s="16">
        <v>31487098</v>
      </c>
    </row>
    <row r="231" spans="1:7" x14ac:dyDescent="0.2">
      <c r="A231" s="1">
        <v>45371</v>
      </c>
      <c r="B231" s="14">
        <v>4.1835000000000004</v>
      </c>
      <c r="C231" s="14">
        <v>4.2004999999999999</v>
      </c>
      <c r="D231" s="14">
        <v>4.1360000000000001</v>
      </c>
      <c r="E231" s="14">
        <v>4.1900000000000004</v>
      </c>
      <c r="F231" s="14">
        <v>4.1900000000000004</v>
      </c>
      <c r="G231" s="16">
        <v>22869829</v>
      </c>
    </row>
    <row r="232" spans="1:7" x14ac:dyDescent="0.2">
      <c r="A232" s="1">
        <v>45372</v>
      </c>
      <c r="B232" s="14">
        <v>4.21</v>
      </c>
      <c r="C232" s="14">
        <v>4.28</v>
      </c>
      <c r="D232" s="14">
        <v>4.2009999999999996</v>
      </c>
      <c r="E232" s="14">
        <v>4.2779999999999996</v>
      </c>
      <c r="F232" s="14">
        <v>4.2779999999999996</v>
      </c>
      <c r="G232" s="16">
        <v>37780346</v>
      </c>
    </row>
    <row r="233" spans="1:7" x14ac:dyDescent="0.2">
      <c r="A233" s="1">
        <v>45373</v>
      </c>
      <c r="B233" s="14">
        <v>4.2699999999999996</v>
      </c>
      <c r="C233" s="14">
        <v>4.4139999999999997</v>
      </c>
      <c r="D233" s="14">
        <v>4.2634999999999996</v>
      </c>
      <c r="E233" s="14">
        <v>4.3665000000000003</v>
      </c>
      <c r="F233" s="14">
        <v>4.3665000000000003</v>
      </c>
      <c r="G233" s="16">
        <v>43880331</v>
      </c>
    </row>
    <row r="234" spans="1:7" x14ac:dyDescent="0.2">
      <c r="A234" s="1">
        <v>45376</v>
      </c>
      <c r="B234" s="14">
        <v>4.3624999999999998</v>
      </c>
      <c r="C234" s="14">
        <v>4.4429999999999996</v>
      </c>
      <c r="D234" s="14">
        <v>4.3520000000000003</v>
      </c>
      <c r="E234" s="14">
        <v>4.4135</v>
      </c>
      <c r="F234" s="14">
        <v>4.4135</v>
      </c>
      <c r="G234" s="16">
        <v>26822346</v>
      </c>
    </row>
    <row r="235" spans="1:7" x14ac:dyDescent="0.2">
      <c r="A235" s="1">
        <v>45377</v>
      </c>
      <c r="B235" s="14">
        <v>4.4474999999999998</v>
      </c>
      <c r="C235" s="14">
        <v>4.4744999999999999</v>
      </c>
      <c r="D235" s="14">
        <v>4.43</v>
      </c>
      <c r="E235" s="14">
        <v>4.46</v>
      </c>
      <c r="F235" s="14">
        <v>4.46</v>
      </c>
      <c r="G235" s="16">
        <v>33052982</v>
      </c>
    </row>
    <row r="236" spans="1:7" x14ac:dyDescent="0.2">
      <c r="A236" s="1">
        <v>45378</v>
      </c>
      <c r="B236" s="14">
        <v>4.4664999999999999</v>
      </c>
      <c r="C236" s="14">
        <v>4.5229999999999997</v>
      </c>
      <c r="D236" s="14">
        <v>4.452</v>
      </c>
      <c r="E236" s="14">
        <v>4.5030000000000001</v>
      </c>
      <c r="F236" s="14">
        <v>4.5030000000000001</v>
      </c>
      <c r="G236" s="16">
        <v>35662590</v>
      </c>
    </row>
    <row r="237" spans="1:7" x14ac:dyDescent="0.2">
      <c r="A237" s="1">
        <v>45379</v>
      </c>
      <c r="B237" s="14">
        <v>4.5119999999999996</v>
      </c>
      <c r="C237" s="14">
        <v>4.5679999999999996</v>
      </c>
      <c r="D237" s="14">
        <v>4.5105000000000004</v>
      </c>
      <c r="E237" s="14">
        <v>4.5214999999999996</v>
      </c>
      <c r="F237" s="14">
        <v>4.5214999999999996</v>
      </c>
      <c r="G237" s="16">
        <v>40553249</v>
      </c>
    </row>
    <row r="238" spans="1:7" x14ac:dyDescent="0.2">
      <c r="A238" s="1">
        <v>45384</v>
      </c>
      <c r="B238" s="14">
        <v>4.5</v>
      </c>
      <c r="C238" s="14">
        <v>4.5425000000000004</v>
      </c>
      <c r="D238" s="14">
        <v>4.452</v>
      </c>
      <c r="E238" s="14">
        <v>4.5149999999999997</v>
      </c>
      <c r="F238" s="14">
        <v>4.5149999999999997</v>
      </c>
      <c r="G238" s="16">
        <v>30662537</v>
      </c>
    </row>
    <row r="239" spans="1:7" x14ac:dyDescent="0.2">
      <c r="A239" s="1">
        <v>45385</v>
      </c>
      <c r="B239" s="14">
        <v>4.5339999999999998</v>
      </c>
      <c r="C239" s="14">
        <v>4.5994999999999999</v>
      </c>
      <c r="D239" s="14">
        <v>4.5049999999999999</v>
      </c>
      <c r="E239" s="14">
        <v>4.5834999999999999</v>
      </c>
      <c r="F239" s="14">
        <v>4.5834999999999999</v>
      </c>
      <c r="G239" s="16">
        <v>24009911</v>
      </c>
    </row>
    <row r="240" spans="1:7" x14ac:dyDescent="0.2">
      <c r="A240" s="1">
        <v>45386</v>
      </c>
      <c r="B240" s="14">
        <v>4.5990000000000002</v>
      </c>
      <c r="C240" s="14">
        <v>4.6885000000000003</v>
      </c>
      <c r="D240" s="14">
        <v>4.5869999999999997</v>
      </c>
      <c r="E240" s="14">
        <v>4.6755000000000004</v>
      </c>
      <c r="F240" s="14">
        <v>4.6755000000000004</v>
      </c>
      <c r="G240" s="16">
        <v>72593851</v>
      </c>
    </row>
    <row r="241" spans="1:7" x14ac:dyDescent="0.2">
      <c r="A241" s="1">
        <v>45387</v>
      </c>
      <c r="B241" s="14">
        <v>4.6100000000000003</v>
      </c>
      <c r="C241" s="14">
        <v>4.6325000000000003</v>
      </c>
      <c r="D241" s="14">
        <v>4.5365000000000002</v>
      </c>
      <c r="E241" s="14">
        <v>4.5865</v>
      </c>
      <c r="F241" s="14">
        <v>4.5865</v>
      </c>
      <c r="G241" s="16">
        <v>39166399</v>
      </c>
    </row>
    <row r="242" spans="1:7" x14ac:dyDescent="0.2">
      <c r="A242" s="1">
        <v>45390</v>
      </c>
      <c r="B242" s="14">
        <v>4.59</v>
      </c>
      <c r="C242" s="14">
        <v>4.6429999999999998</v>
      </c>
      <c r="D242" s="14">
        <v>4.5834999999999999</v>
      </c>
      <c r="E242" s="14">
        <v>4.641</v>
      </c>
      <c r="F242" s="14">
        <v>4.641</v>
      </c>
      <c r="G242" s="16">
        <v>20952883</v>
      </c>
    </row>
    <row r="243" spans="1:7" x14ac:dyDescent="0.2">
      <c r="A243" s="1">
        <v>45391</v>
      </c>
      <c r="B243" s="14">
        <v>4.6340000000000003</v>
      </c>
      <c r="C243" s="14">
        <v>4.6455000000000002</v>
      </c>
      <c r="D243" s="14">
        <v>4.5545</v>
      </c>
      <c r="E243" s="14">
        <v>4.5655000000000001</v>
      </c>
      <c r="F243" s="14">
        <v>4.5655000000000001</v>
      </c>
      <c r="G243" s="16">
        <v>23768525</v>
      </c>
    </row>
    <row r="244" spans="1:7" x14ac:dyDescent="0.2">
      <c r="A244" s="1">
        <v>45392</v>
      </c>
      <c r="B244" s="14">
        <v>4.5795000000000003</v>
      </c>
      <c r="C244" s="14">
        <v>4.6139999999999999</v>
      </c>
      <c r="D244" s="14">
        <v>4.5145</v>
      </c>
      <c r="E244" s="14">
        <v>4.5765000000000002</v>
      </c>
      <c r="F244" s="14">
        <v>4.5765000000000002</v>
      </c>
      <c r="G244" s="16">
        <v>39018785</v>
      </c>
    </row>
    <row r="245" spans="1:7" x14ac:dyDescent="0.2">
      <c r="A245" s="1">
        <v>45393</v>
      </c>
      <c r="B245" s="14">
        <v>4.5685000000000002</v>
      </c>
      <c r="C245" s="14">
        <v>4.5884999999999998</v>
      </c>
      <c r="D245" s="14">
        <v>4.4115000000000002</v>
      </c>
      <c r="E245" s="14">
        <v>4.4560000000000004</v>
      </c>
      <c r="F245" s="14">
        <v>4.4560000000000004</v>
      </c>
      <c r="G245" s="16">
        <v>39985305</v>
      </c>
    </row>
    <row r="246" spans="1:7" x14ac:dyDescent="0.2">
      <c r="A246" s="1">
        <v>45394</v>
      </c>
      <c r="B246" s="14">
        <v>4.4974999999999996</v>
      </c>
      <c r="C246" s="14">
        <v>4.5199999999999996</v>
      </c>
      <c r="D246" s="14">
        <v>4.4284999999999997</v>
      </c>
      <c r="E246" s="14">
        <v>4.4480000000000004</v>
      </c>
      <c r="F246" s="14">
        <v>4.4480000000000004</v>
      </c>
      <c r="G246" s="16">
        <v>26386121</v>
      </c>
    </row>
    <row r="247" spans="1:7" x14ac:dyDescent="0.2">
      <c r="A247" s="1">
        <v>45397</v>
      </c>
      <c r="B247" s="14">
        <v>4.4344999999999999</v>
      </c>
      <c r="C247" s="14">
        <v>4.5039999999999996</v>
      </c>
      <c r="D247" s="14">
        <v>4.4215</v>
      </c>
      <c r="E247" s="14">
        <v>4.4705000000000004</v>
      </c>
      <c r="F247" s="14">
        <v>4.4705000000000004</v>
      </c>
      <c r="G247" s="16">
        <v>28663206</v>
      </c>
    </row>
    <row r="248" spans="1:7" x14ac:dyDescent="0.2">
      <c r="A248" s="1">
        <v>45398</v>
      </c>
      <c r="B248" s="14">
        <v>4.4000000000000004</v>
      </c>
      <c r="C248" s="14">
        <v>4.4269999999999996</v>
      </c>
      <c r="D248" s="14">
        <v>4.3535000000000004</v>
      </c>
      <c r="E248" s="14">
        <v>4.3570000000000002</v>
      </c>
      <c r="F248" s="14">
        <v>4.3570000000000002</v>
      </c>
      <c r="G248" s="16">
        <v>40721950</v>
      </c>
    </row>
    <row r="249" spans="1:7" x14ac:dyDescent="0.2">
      <c r="A249" s="1">
        <v>45399</v>
      </c>
      <c r="B249" s="14">
        <v>4.37</v>
      </c>
      <c r="C249" s="14">
        <v>4.4604999999999997</v>
      </c>
      <c r="D249" s="14">
        <v>4.3674999999999997</v>
      </c>
      <c r="E249" s="14">
        <v>4.4180000000000001</v>
      </c>
      <c r="F249" s="14">
        <v>4.4180000000000001</v>
      </c>
      <c r="G249" s="16">
        <v>21777523</v>
      </c>
    </row>
    <row r="250" spans="1:7" x14ac:dyDescent="0.2">
      <c r="A250" s="1">
        <v>45400</v>
      </c>
      <c r="B250" s="14">
        <v>4.4535</v>
      </c>
      <c r="C250" s="14">
        <v>4.5445000000000002</v>
      </c>
      <c r="D250" s="14">
        <v>4.42</v>
      </c>
      <c r="E250" s="14">
        <v>4.5445000000000002</v>
      </c>
      <c r="F250" s="14">
        <v>4.5445000000000002</v>
      </c>
      <c r="G250" s="16">
        <v>34343556</v>
      </c>
    </row>
    <row r="251" spans="1:7" x14ac:dyDescent="0.2">
      <c r="A251" s="1">
        <v>45401</v>
      </c>
      <c r="B251" s="14">
        <v>4.4800000000000004</v>
      </c>
      <c r="C251" s="14">
        <v>4.53</v>
      </c>
      <c r="D251" s="14">
        <v>4.4569999999999999</v>
      </c>
      <c r="E251" s="14">
        <v>4.5114999999999998</v>
      </c>
      <c r="F251" s="14">
        <v>4.5114999999999998</v>
      </c>
      <c r="G251" s="16">
        <v>35594009</v>
      </c>
    </row>
    <row r="252" spans="1:7" x14ac:dyDescent="0.2">
      <c r="A252" s="1">
        <v>45404</v>
      </c>
      <c r="B252" s="14">
        <v>4.57</v>
      </c>
      <c r="C252" s="14">
        <v>4.6695000000000002</v>
      </c>
      <c r="D252" s="14">
        <v>4.5309999999999997</v>
      </c>
      <c r="E252" s="14">
        <v>4.6669999999999998</v>
      </c>
      <c r="F252" s="14">
        <v>4.6669999999999998</v>
      </c>
      <c r="G252" s="16">
        <v>43007201</v>
      </c>
    </row>
    <row r="253" spans="1:7" x14ac:dyDescent="0.2">
      <c r="A253" s="1">
        <v>45405</v>
      </c>
      <c r="B253" s="14">
        <v>4.6985000000000001</v>
      </c>
      <c r="C253" s="14">
        <v>4.7664999999999997</v>
      </c>
      <c r="D253" s="14">
        <v>4.6859999999999999</v>
      </c>
      <c r="E253" s="14">
        <v>4.7474999999999996</v>
      </c>
      <c r="F253" s="14">
        <v>4.7474999999999996</v>
      </c>
      <c r="G253" s="16">
        <v>117593016</v>
      </c>
    </row>
    <row r="254" spans="1:7" x14ac:dyDescent="0.2">
      <c r="A254" s="1">
        <v>45406</v>
      </c>
      <c r="B254" s="14">
        <v>4.7699999999999996</v>
      </c>
      <c r="C254" s="14">
        <v>4.7969999999999997</v>
      </c>
      <c r="D254" s="14">
        <v>4.75</v>
      </c>
      <c r="E254" s="14">
        <v>4.7794999999999996</v>
      </c>
      <c r="F254" s="14">
        <v>4.7794999999999996</v>
      </c>
      <c r="G254" s="16">
        <v>34674872</v>
      </c>
    </row>
    <row r="255" spans="1:7" x14ac:dyDescent="0.2">
      <c r="A255" s="1">
        <v>45407</v>
      </c>
      <c r="B255" s="14">
        <v>4.7904999999999998</v>
      </c>
      <c r="C255" s="14">
        <v>4.8265000000000002</v>
      </c>
      <c r="D255" s="14">
        <v>4.7060000000000004</v>
      </c>
      <c r="E255" s="14">
        <v>4.7480000000000002</v>
      </c>
      <c r="F255" s="14">
        <v>4.7480000000000002</v>
      </c>
      <c r="G255" s="16">
        <v>32420707</v>
      </c>
    </row>
    <row r="256" spans="1:7" x14ac:dyDescent="0.2">
      <c r="A256" s="1">
        <v>45408</v>
      </c>
      <c r="B256" s="14">
        <v>4.8099999999999996</v>
      </c>
      <c r="C256" s="14">
        <v>4.899</v>
      </c>
      <c r="D256" s="14">
        <v>4.7930000000000001</v>
      </c>
      <c r="E256" s="14">
        <v>4.8505000000000003</v>
      </c>
      <c r="F256" s="14">
        <v>4.8505000000000003</v>
      </c>
      <c r="G256" s="16">
        <v>50744722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6"/>
  <sheetViews>
    <sheetView topLeftCell="A237" workbookViewId="0">
      <selection activeCell="F2" sqref="F2:F256"/>
    </sheetView>
  </sheetViews>
  <sheetFormatPr baseColWidth="10" defaultRowHeight="15" x14ac:dyDescent="0.2"/>
  <cols>
    <col min="2" max="7" width="11.5" style="15"/>
  </cols>
  <sheetData>
    <row r="1" spans="1:7" x14ac:dyDescent="0.2">
      <c r="A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 x14ac:dyDescent="0.2">
      <c r="A2" s="1">
        <v>45044</v>
      </c>
      <c r="B2" s="15">
        <v>4.1349999999999998</v>
      </c>
      <c r="C2" s="15">
        <v>4.1470000000000002</v>
      </c>
      <c r="D2" s="15">
        <v>4.0880000000000001</v>
      </c>
      <c r="E2" s="15">
        <v>4.125</v>
      </c>
      <c r="F2" s="15">
        <v>3.8160530000000001</v>
      </c>
      <c r="G2" s="16">
        <v>66471194</v>
      </c>
    </row>
    <row r="3" spans="1:7" x14ac:dyDescent="0.2">
      <c r="A3" s="1">
        <v>45048</v>
      </c>
      <c r="B3" s="15">
        <v>4.1109999999999998</v>
      </c>
      <c r="C3" s="15">
        <v>4.1109999999999998</v>
      </c>
      <c r="D3" s="15">
        <v>4.0330000000000004</v>
      </c>
      <c r="E3" s="15">
        <v>4.0469999999999997</v>
      </c>
      <c r="F3" s="15">
        <v>3.7438950000000002</v>
      </c>
      <c r="G3" s="16">
        <v>12313138</v>
      </c>
    </row>
    <row r="4" spans="1:7" x14ac:dyDescent="0.2">
      <c r="A4" s="1">
        <v>45049</v>
      </c>
      <c r="B4" s="15">
        <v>4.03</v>
      </c>
      <c r="C4" s="15">
        <v>4.0810000000000004</v>
      </c>
      <c r="D4" s="15">
        <v>4.0250000000000004</v>
      </c>
      <c r="E4" s="15">
        <v>4.0730000000000004</v>
      </c>
      <c r="F4" s="15">
        <v>3.7679469999999999</v>
      </c>
      <c r="G4" s="16">
        <v>4866190</v>
      </c>
    </row>
    <row r="5" spans="1:7" x14ac:dyDescent="0.2">
      <c r="A5" s="1">
        <v>45050</v>
      </c>
      <c r="B5" s="15">
        <v>4.0750000000000002</v>
      </c>
      <c r="C5" s="15">
        <v>4.08</v>
      </c>
      <c r="D5" s="15">
        <v>3.9849999999999999</v>
      </c>
      <c r="E5" s="15">
        <v>4.0069999999999997</v>
      </c>
      <c r="F5" s="15">
        <v>3.7068910000000002</v>
      </c>
      <c r="G5" s="16">
        <v>16622387</v>
      </c>
    </row>
    <row r="6" spans="1:7" x14ac:dyDescent="0.2">
      <c r="A6" s="1">
        <v>45051</v>
      </c>
      <c r="B6" s="15">
        <v>4.0090000000000003</v>
      </c>
      <c r="C6" s="15">
        <v>4.0519999999999996</v>
      </c>
      <c r="D6" s="15">
        <v>3.9780000000000002</v>
      </c>
      <c r="E6" s="15">
        <v>4.0250000000000004</v>
      </c>
      <c r="F6" s="15">
        <v>3.7235420000000001</v>
      </c>
      <c r="G6" s="16">
        <v>8190857</v>
      </c>
    </row>
    <row r="7" spans="1:7" x14ac:dyDescent="0.2">
      <c r="A7" s="1">
        <v>45054</v>
      </c>
      <c r="B7" s="15">
        <v>4.0229999999999997</v>
      </c>
      <c r="C7" s="15">
        <v>4.0449999999999999</v>
      </c>
      <c r="D7" s="15">
        <v>4.0110000000000001</v>
      </c>
      <c r="E7" s="15">
        <v>4.0129999999999999</v>
      </c>
      <c r="F7" s="15">
        <v>3.7124410000000001</v>
      </c>
      <c r="G7" s="16">
        <v>3945467</v>
      </c>
    </row>
    <row r="8" spans="1:7" x14ac:dyDescent="0.2">
      <c r="A8" s="1">
        <v>45055</v>
      </c>
      <c r="B8" s="15">
        <v>4.0110000000000001</v>
      </c>
      <c r="C8" s="15">
        <v>4.0279999999999996</v>
      </c>
      <c r="D8" s="15">
        <v>4</v>
      </c>
      <c r="E8" s="15">
        <v>4.0069999999999997</v>
      </c>
      <c r="F8" s="15">
        <v>3.7068910000000002</v>
      </c>
      <c r="G8" s="16">
        <v>6223155</v>
      </c>
    </row>
    <row r="9" spans="1:7" x14ac:dyDescent="0.2">
      <c r="A9" s="1">
        <v>45056</v>
      </c>
      <c r="B9" s="15">
        <v>4.0190000000000001</v>
      </c>
      <c r="C9" s="15">
        <v>4.0490000000000004</v>
      </c>
      <c r="D9" s="15">
        <v>3.9910000000000001</v>
      </c>
      <c r="E9" s="15">
        <v>4.03</v>
      </c>
      <c r="F9" s="15">
        <v>3.7281680000000001</v>
      </c>
      <c r="G9" s="16">
        <v>14473831</v>
      </c>
    </row>
    <row r="10" spans="1:7" x14ac:dyDescent="0.2">
      <c r="A10" s="1">
        <v>45057</v>
      </c>
      <c r="B10" s="15">
        <v>4.03</v>
      </c>
      <c r="C10" s="15">
        <v>4.0659999999999998</v>
      </c>
      <c r="D10" s="15">
        <v>3.8250000000000002</v>
      </c>
      <c r="E10" s="15">
        <v>3.847</v>
      </c>
      <c r="F10" s="15">
        <v>3.5588739999999999</v>
      </c>
      <c r="G10" s="16">
        <v>76390818</v>
      </c>
    </row>
    <row r="11" spans="1:7" x14ac:dyDescent="0.2">
      <c r="A11" s="1">
        <v>45058</v>
      </c>
      <c r="B11" s="15">
        <v>3.87</v>
      </c>
      <c r="C11" s="15">
        <v>3.9289999999999998</v>
      </c>
      <c r="D11" s="15">
        <v>3.87</v>
      </c>
      <c r="E11" s="15">
        <v>3.8780000000000001</v>
      </c>
      <c r="F11" s="15">
        <v>3.5875520000000001</v>
      </c>
      <c r="G11" s="16">
        <v>14774299</v>
      </c>
    </row>
    <row r="12" spans="1:7" x14ac:dyDescent="0.2">
      <c r="A12" s="1">
        <v>45061</v>
      </c>
      <c r="B12" s="15">
        <v>3.9</v>
      </c>
      <c r="C12" s="15">
        <v>3.9279999999999999</v>
      </c>
      <c r="D12" s="15">
        <v>3.871</v>
      </c>
      <c r="E12" s="15">
        <v>3.9260000000000002</v>
      </c>
      <c r="F12" s="15">
        <v>3.6319569999999999</v>
      </c>
      <c r="G12" s="16">
        <v>7861848</v>
      </c>
    </row>
    <row r="13" spans="1:7" x14ac:dyDescent="0.2">
      <c r="A13" s="1">
        <v>45062</v>
      </c>
      <c r="B13" s="15">
        <v>3.9159999999999999</v>
      </c>
      <c r="C13" s="15">
        <v>4</v>
      </c>
      <c r="D13" s="15">
        <v>3.91</v>
      </c>
      <c r="E13" s="15">
        <v>3.9620000000000002</v>
      </c>
      <c r="F13" s="15">
        <v>3.6652610000000001</v>
      </c>
      <c r="G13" s="16">
        <v>9171819</v>
      </c>
    </row>
    <row r="14" spans="1:7" x14ac:dyDescent="0.2">
      <c r="A14" s="1">
        <v>45063</v>
      </c>
      <c r="B14" s="15">
        <v>3.9550000000000001</v>
      </c>
      <c r="C14" s="15">
        <v>3.9860000000000002</v>
      </c>
      <c r="D14" s="15">
        <v>3.9340000000000002</v>
      </c>
      <c r="E14" s="15">
        <v>3.9359999999999999</v>
      </c>
      <c r="F14" s="15">
        <v>3.6412079999999998</v>
      </c>
      <c r="G14" s="16">
        <v>7346809</v>
      </c>
    </row>
    <row r="15" spans="1:7" x14ac:dyDescent="0.2">
      <c r="A15" s="1">
        <v>45064</v>
      </c>
      <c r="B15" s="15">
        <v>3.95</v>
      </c>
      <c r="C15" s="15">
        <v>3.98</v>
      </c>
      <c r="D15" s="15">
        <v>3.92</v>
      </c>
      <c r="E15" s="15">
        <v>3.9340000000000002</v>
      </c>
      <c r="F15" s="15">
        <v>3.6393580000000001</v>
      </c>
      <c r="G15" s="16">
        <v>5409025</v>
      </c>
    </row>
    <row r="16" spans="1:7" x14ac:dyDescent="0.2">
      <c r="A16" s="1">
        <v>45065</v>
      </c>
      <c r="B16" s="15">
        <v>3.94</v>
      </c>
      <c r="C16" s="15">
        <v>3.9510000000000001</v>
      </c>
      <c r="D16" s="15">
        <v>3.8860000000000001</v>
      </c>
      <c r="E16" s="15">
        <v>3.9249999999999998</v>
      </c>
      <c r="F16" s="15">
        <v>3.6310319999999998</v>
      </c>
      <c r="G16" s="16">
        <v>9312340</v>
      </c>
    </row>
    <row r="17" spans="1:7" x14ac:dyDescent="0.2">
      <c r="A17" s="1">
        <v>45068</v>
      </c>
      <c r="B17" s="15">
        <v>3.9420000000000002</v>
      </c>
      <c r="C17" s="15">
        <v>3.9849999999999999</v>
      </c>
      <c r="D17" s="15">
        <v>3.9369999999999998</v>
      </c>
      <c r="E17" s="15">
        <v>3.95</v>
      </c>
      <c r="F17" s="15">
        <v>3.6541600000000001</v>
      </c>
      <c r="G17" s="16">
        <v>5185084</v>
      </c>
    </row>
    <row r="18" spans="1:7" x14ac:dyDescent="0.2">
      <c r="A18" s="1">
        <v>45069</v>
      </c>
      <c r="B18" s="15">
        <v>3.9569999999999999</v>
      </c>
      <c r="C18" s="15">
        <v>3.9980000000000002</v>
      </c>
      <c r="D18" s="15">
        <v>3.944</v>
      </c>
      <c r="E18" s="15">
        <v>3.9940000000000002</v>
      </c>
      <c r="F18" s="15">
        <v>3.6948639999999999</v>
      </c>
      <c r="G18" s="16">
        <v>7186966</v>
      </c>
    </row>
    <row r="19" spans="1:7" x14ac:dyDescent="0.2">
      <c r="A19" s="1">
        <v>45070</v>
      </c>
      <c r="B19" s="15">
        <v>3.99</v>
      </c>
      <c r="C19" s="15">
        <v>4.0270000000000001</v>
      </c>
      <c r="D19" s="15">
        <v>3.9820000000000002</v>
      </c>
      <c r="E19" s="15">
        <v>3.996</v>
      </c>
      <c r="F19" s="15">
        <v>3.6967140000000001</v>
      </c>
      <c r="G19" s="16">
        <v>7938446</v>
      </c>
    </row>
    <row r="20" spans="1:7" x14ac:dyDescent="0.2">
      <c r="A20" s="1">
        <v>45071</v>
      </c>
      <c r="B20" s="15">
        <v>4.0010000000000003</v>
      </c>
      <c r="C20" s="15">
        <v>4.0110000000000001</v>
      </c>
      <c r="D20" s="15">
        <v>3.9140000000000001</v>
      </c>
      <c r="E20" s="15">
        <v>3.9289999999999998</v>
      </c>
      <c r="F20" s="15">
        <v>3.6347320000000001</v>
      </c>
      <c r="G20" s="16">
        <v>9463701</v>
      </c>
    </row>
    <row r="21" spans="1:7" x14ac:dyDescent="0.2">
      <c r="A21" s="1">
        <v>45072</v>
      </c>
      <c r="B21" s="15">
        <v>3.94</v>
      </c>
      <c r="C21" s="15">
        <v>3.9460000000000002</v>
      </c>
      <c r="D21" s="15">
        <v>3.895</v>
      </c>
      <c r="E21" s="15">
        <v>3.9289999999999998</v>
      </c>
      <c r="F21" s="15">
        <v>3.6347320000000001</v>
      </c>
      <c r="G21" s="16">
        <v>7100508</v>
      </c>
    </row>
    <row r="22" spans="1:7" x14ac:dyDescent="0.2">
      <c r="A22" s="1">
        <v>45075</v>
      </c>
      <c r="B22" s="15">
        <v>3.9660000000000002</v>
      </c>
      <c r="C22" s="15">
        <v>3.9940000000000002</v>
      </c>
      <c r="D22" s="15">
        <v>3.9540000000000002</v>
      </c>
      <c r="E22" s="15">
        <v>3.9729999999999999</v>
      </c>
      <c r="F22" s="15">
        <v>3.6754370000000001</v>
      </c>
      <c r="G22" s="16">
        <v>4750999</v>
      </c>
    </row>
    <row r="23" spans="1:7" x14ac:dyDescent="0.2">
      <c r="A23" s="1">
        <v>45076</v>
      </c>
      <c r="B23" s="15">
        <v>3.9820000000000002</v>
      </c>
      <c r="C23" s="15">
        <v>3.988</v>
      </c>
      <c r="D23" s="15">
        <v>3.9119999999999999</v>
      </c>
      <c r="E23" s="15">
        <v>3.915</v>
      </c>
      <c r="F23" s="15">
        <v>3.6217809999999999</v>
      </c>
      <c r="G23" s="16">
        <v>6811907</v>
      </c>
    </row>
    <row r="24" spans="1:7" x14ac:dyDescent="0.2">
      <c r="A24" s="1">
        <v>45077</v>
      </c>
      <c r="B24" s="15">
        <v>3.91</v>
      </c>
      <c r="C24" s="15">
        <v>3.98</v>
      </c>
      <c r="D24" s="15">
        <v>3.9079999999999999</v>
      </c>
      <c r="E24" s="15">
        <v>3.97</v>
      </c>
      <c r="F24" s="15">
        <v>3.6726619999999999</v>
      </c>
      <c r="G24" s="16">
        <v>62316221</v>
      </c>
    </row>
    <row r="25" spans="1:7" x14ac:dyDescent="0.2">
      <c r="A25" s="1">
        <v>45078</v>
      </c>
      <c r="B25" s="15">
        <v>3.9569999999999999</v>
      </c>
      <c r="C25" s="15">
        <v>3.9670000000000001</v>
      </c>
      <c r="D25" s="15">
        <v>3.9169999999999998</v>
      </c>
      <c r="E25" s="15">
        <v>3.9209999999999998</v>
      </c>
      <c r="F25" s="15">
        <v>3.627332</v>
      </c>
      <c r="G25" s="16">
        <v>8973463</v>
      </c>
    </row>
    <row r="26" spans="1:7" x14ac:dyDescent="0.2">
      <c r="A26" s="1">
        <v>45079</v>
      </c>
      <c r="B26" s="15">
        <v>3.9470000000000001</v>
      </c>
      <c r="C26" s="15">
        <v>3.9870000000000001</v>
      </c>
      <c r="D26" s="15">
        <v>3.8239999999999998</v>
      </c>
      <c r="E26" s="15">
        <v>3.891</v>
      </c>
      <c r="F26" s="15">
        <v>3.5995789999999999</v>
      </c>
      <c r="G26" s="16">
        <v>15902209</v>
      </c>
    </row>
    <row r="27" spans="1:7" x14ac:dyDescent="0.2">
      <c r="A27" s="1">
        <v>45082</v>
      </c>
      <c r="B27" s="15">
        <v>3.9169999999999998</v>
      </c>
      <c r="C27" s="15">
        <v>3.964</v>
      </c>
      <c r="D27" s="15">
        <v>3.9129999999999998</v>
      </c>
      <c r="E27" s="15">
        <v>3.923</v>
      </c>
      <c r="F27" s="15">
        <v>3.6291820000000001</v>
      </c>
      <c r="G27" s="16">
        <v>103201876</v>
      </c>
    </row>
    <row r="28" spans="1:7" x14ac:dyDescent="0.2">
      <c r="A28" s="1">
        <v>45083</v>
      </c>
      <c r="B28" s="15">
        <v>3.92</v>
      </c>
      <c r="C28" s="15">
        <v>3.9260000000000002</v>
      </c>
      <c r="D28" s="15">
        <v>3.8170000000000002</v>
      </c>
      <c r="E28" s="15">
        <v>3.843</v>
      </c>
      <c r="F28" s="15">
        <v>3.5551729999999999</v>
      </c>
      <c r="G28" s="16">
        <v>36489846</v>
      </c>
    </row>
    <row r="29" spans="1:7" x14ac:dyDescent="0.2">
      <c r="A29" s="1">
        <v>45084</v>
      </c>
      <c r="B29" s="15">
        <v>3.8239999999999998</v>
      </c>
      <c r="C29" s="15">
        <v>3.9049999999999998</v>
      </c>
      <c r="D29" s="15">
        <v>3.82</v>
      </c>
      <c r="E29" s="15">
        <v>3.8879999999999999</v>
      </c>
      <c r="F29" s="15">
        <v>3.596803</v>
      </c>
      <c r="G29" s="16">
        <v>62005836</v>
      </c>
    </row>
    <row r="30" spans="1:7" x14ac:dyDescent="0.2">
      <c r="A30" s="1">
        <v>45085</v>
      </c>
      <c r="B30" s="15">
        <v>3.8919999999999999</v>
      </c>
      <c r="C30" s="15">
        <v>3.9060000000000001</v>
      </c>
      <c r="D30" s="15">
        <v>3.8540000000000001</v>
      </c>
      <c r="E30" s="15">
        <v>3.8759999999999999</v>
      </c>
      <c r="F30" s="15">
        <v>3.5857019999999999</v>
      </c>
      <c r="G30" s="16">
        <v>8414626</v>
      </c>
    </row>
    <row r="31" spans="1:7" x14ac:dyDescent="0.2">
      <c r="A31" s="1">
        <v>45086</v>
      </c>
      <c r="B31" s="15">
        <v>3.8889999999999998</v>
      </c>
      <c r="C31" s="15">
        <v>3.911</v>
      </c>
      <c r="D31" s="15">
        <v>3.88</v>
      </c>
      <c r="E31" s="15">
        <v>3.8860000000000001</v>
      </c>
      <c r="F31" s="15">
        <v>3.5949529999999998</v>
      </c>
      <c r="G31" s="16">
        <v>7788884</v>
      </c>
    </row>
    <row r="32" spans="1:7" x14ac:dyDescent="0.2">
      <c r="A32" s="1">
        <v>45089</v>
      </c>
      <c r="B32" s="15">
        <v>3.9169999999999998</v>
      </c>
      <c r="C32" s="15">
        <v>3.9169999999999998</v>
      </c>
      <c r="D32" s="15">
        <v>3.8450000000000002</v>
      </c>
      <c r="E32" s="15">
        <v>3.8450000000000002</v>
      </c>
      <c r="F32" s="15">
        <v>3.5570240000000002</v>
      </c>
      <c r="G32" s="16">
        <v>15799942</v>
      </c>
    </row>
    <row r="33" spans="1:7" x14ac:dyDescent="0.2">
      <c r="A33" s="1">
        <v>45090</v>
      </c>
      <c r="B33" s="15">
        <v>3.7149999999999999</v>
      </c>
      <c r="C33" s="15">
        <v>3.7210000000000001</v>
      </c>
      <c r="D33" s="15">
        <v>3.6379999999999999</v>
      </c>
      <c r="E33" s="15">
        <v>3.6459999999999999</v>
      </c>
      <c r="F33" s="15">
        <v>3.5098539999999998</v>
      </c>
      <c r="G33" s="16">
        <v>16482953</v>
      </c>
    </row>
    <row r="34" spans="1:7" x14ac:dyDescent="0.2">
      <c r="A34" s="1">
        <v>45091</v>
      </c>
      <c r="B34" s="15">
        <v>3.63</v>
      </c>
      <c r="C34" s="15">
        <v>3.6890000000000001</v>
      </c>
      <c r="D34" s="15">
        <v>3.5950000000000002</v>
      </c>
      <c r="E34" s="15">
        <v>3.633</v>
      </c>
      <c r="F34" s="15">
        <v>3.4973390000000002</v>
      </c>
      <c r="G34" s="16">
        <v>15025192</v>
      </c>
    </row>
    <row r="35" spans="1:7" x14ac:dyDescent="0.2">
      <c r="A35" s="1">
        <v>45092</v>
      </c>
      <c r="B35" s="15">
        <v>3.633</v>
      </c>
      <c r="C35" s="15">
        <v>3.6629999999999998</v>
      </c>
      <c r="D35" s="15">
        <v>3.6019999999999999</v>
      </c>
      <c r="E35" s="15">
        <v>3.6549999999999998</v>
      </c>
      <c r="F35" s="15">
        <v>3.5185170000000001</v>
      </c>
      <c r="G35" s="16">
        <v>45173010</v>
      </c>
    </row>
    <row r="36" spans="1:7" x14ac:dyDescent="0.2">
      <c r="A36" s="1">
        <v>45093</v>
      </c>
      <c r="B36" s="15">
        <v>3.66</v>
      </c>
      <c r="C36" s="15">
        <v>3.677</v>
      </c>
      <c r="D36" s="15">
        <v>3.62</v>
      </c>
      <c r="E36" s="15">
        <v>3.6219999999999999</v>
      </c>
      <c r="F36" s="15">
        <v>3.4867499999999998</v>
      </c>
      <c r="G36" s="16">
        <v>50947879</v>
      </c>
    </row>
    <row r="37" spans="1:7" x14ac:dyDescent="0.2">
      <c r="A37" s="1">
        <v>45096</v>
      </c>
      <c r="B37" s="15">
        <v>3.62</v>
      </c>
      <c r="C37" s="15">
        <v>3.698</v>
      </c>
      <c r="D37" s="15">
        <v>3.613</v>
      </c>
      <c r="E37" s="15">
        <v>3.6579999999999999</v>
      </c>
      <c r="F37" s="15">
        <v>3.5214050000000001</v>
      </c>
      <c r="G37" s="16">
        <v>32145171</v>
      </c>
    </row>
    <row r="38" spans="1:7" x14ac:dyDescent="0.2">
      <c r="A38" s="1">
        <v>45097</v>
      </c>
      <c r="B38" s="15">
        <v>3.649</v>
      </c>
      <c r="C38" s="15">
        <v>3.657</v>
      </c>
      <c r="D38" s="15">
        <v>3.617</v>
      </c>
      <c r="E38" s="15">
        <v>3.6480000000000001</v>
      </c>
      <c r="F38" s="15">
        <v>3.5117790000000002</v>
      </c>
      <c r="G38" s="16">
        <v>70669611</v>
      </c>
    </row>
    <row r="39" spans="1:7" x14ac:dyDescent="0.2">
      <c r="A39" s="1">
        <v>45098</v>
      </c>
      <c r="B39" s="15">
        <v>3.6539999999999999</v>
      </c>
      <c r="C39" s="15">
        <v>3.661</v>
      </c>
      <c r="D39" s="15">
        <v>3.6269999999999998</v>
      </c>
      <c r="E39" s="15">
        <v>3.6379999999999999</v>
      </c>
      <c r="F39" s="15">
        <v>3.5021520000000002</v>
      </c>
      <c r="G39" s="16">
        <v>29687610</v>
      </c>
    </row>
    <row r="40" spans="1:7" x14ac:dyDescent="0.2">
      <c r="A40" s="1">
        <v>45099</v>
      </c>
      <c r="B40" s="15">
        <v>3.62</v>
      </c>
      <c r="C40" s="15">
        <v>3.633</v>
      </c>
      <c r="D40" s="15">
        <v>3.5920000000000001</v>
      </c>
      <c r="E40" s="15">
        <v>3.613</v>
      </c>
      <c r="F40" s="15">
        <v>3.4780859999999998</v>
      </c>
      <c r="G40" s="16">
        <v>7945392</v>
      </c>
    </row>
    <row r="41" spans="1:7" x14ac:dyDescent="0.2">
      <c r="A41" s="1">
        <v>45100</v>
      </c>
      <c r="B41" s="15">
        <v>3.613</v>
      </c>
      <c r="C41" s="15">
        <v>3.649</v>
      </c>
      <c r="D41" s="15">
        <v>3.601</v>
      </c>
      <c r="E41" s="15">
        <v>3.6419999999999999</v>
      </c>
      <c r="F41" s="15">
        <v>3.5060030000000002</v>
      </c>
      <c r="G41" s="16">
        <v>37424794</v>
      </c>
    </row>
    <row r="42" spans="1:7" x14ac:dyDescent="0.2">
      <c r="A42" s="1">
        <v>45103</v>
      </c>
      <c r="B42" s="15">
        <v>3.65</v>
      </c>
      <c r="C42" s="15">
        <v>3.6509999999999998</v>
      </c>
      <c r="D42" s="15">
        <v>3.6150000000000002</v>
      </c>
      <c r="E42" s="15">
        <v>3.6150000000000002</v>
      </c>
      <c r="F42" s="15">
        <v>3.4800110000000002</v>
      </c>
      <c r="G42" s="16">
        <v>6014800</v>
      </c>
    </row>
    <row r="43" spans="1:7" x14ac:dyDescent="0.2">
      <c r="A43" s="1">
        <v>45104</v>
      </c>
      <c r="B43" s="15">
        <v>3.62</v>
      </c>
      <c r="C43" s="15">
        <v>3.6589999999999998</v>
      </c>
      <c r="D43" s="15">
        <v>3.593</v>
      </c>
      <c r="E43" s="15">
        <v>3.65</v>
      </c>
      <c r="F43" s="15">
        <v>3.5137040000000002</v>
      </c>
      <c r="G43" s="16">
        <v>28936613</v>
      </c>
    </row>
    <row r="44" spans="1:7" x14ac:dyDescent="0.2">
      <c r="A44" s="1">
        <v>45105</v>
      </c>
      <c r="B44" s="15">
        <v>3.6629999999999998</v>
      </c>
      <c r="C44" s="15">
        <v>3.6930000000000001</v>
      </c>
      <c r="D44" s="15">
        <v>3.6520000000000001</v>
      </c>
      <c r="E44" s="15">
        <v>3.66</v>
      </c>
      <c r="F44" s="15">
        <v>3.5233310000000002</v>
      </c>
      <c r="G44" s="16">
        <v>6368337</v>
      </c>
    </row>
    <row r="45" spans="1:7" x14ac:dyDescent="0.2">
      <c r="A45" s="1">
        <v>45106</v>
      </c>
      <c r="B45" s="15">
        <v>3.67</v>
      </c>
      <c r="C45" s="15">
        <v>3.6960000000000002</v>
      </c>
      <c r="D45" s="15">
        <v>3.6659999999999999</v>
      </c>
      <c r="E45" s="15">
        <v>3.6880000000000002</v>
      </c>
      <c r="F45" s="15">
        <v>3.5502850000000001</v>
      </c>
      <c r="G45" s="16">
        <v>7345894</v>
      </c>
    </row>
    <row r="46" spans="1:7" x14ac:dyDescent="0.2">
      <c r="A46" s="1">
        <v>45107</v>
      </c>
      <c r="B46" s="15">
        <v>3.6970000000000001</v>
      </c>
      <c r="C46" s="15">
        <v>3.7469999999999999</v>
      </c>
      <c r="D46" s="15">
        <v>3.681</v>
      </c>
      <c r="E46" s="15">
        <v>3.7160000000000002</v>
      </c>
      <c r="F46" s="15">
        <v>3.5772400000000002</v>
      </c>
      <c r="G46" s="16">
        <v>15572457</v>
      </c>
    </row>
    <row r="47" spans="1:7" x14ac:dyDescent="0.2">
      <c r="A47" s="1">
        <v>45110</v>
      </c>
      <c r="B47" s="15">
        <v>3.7309999999999999</v>
      </c>
      <c r="C47" s="15">
        <v>3.802</v>
      </c>
      <c r="D47" s="15">
        <v>3.73</v>
      </c>
      <c r="E47" s="15">
        <v>3.7770000000000001</v>
      </c>
      <c r="F47" s="15">
        <v>3.6359620000000001</v>
      </c>
      <c r="G47" s="16">
        <v>37867845</v>
      </c>
    </row>
    <row r="48" spans="1:7" x14ac:dyDescent="0.2">
      <c r="A48" s="1">
        <v>45111</v>
      </c>
      <c r="B48" s="15">
        <v>3.7839999999999998</v>
      </c>
      <c r="C48" s="15">
        <v>3.8029999999999999</v>
      </c>
      <c r="D48" s="15">
        <v>3.7509999999999999</v>
      </c>
      <c r="E48" s="15">
        <v>3.7530000000000001</v>
      </c>
      <c r="F48" s="15">
        <v>3.6128580000000001</v>
      </c>
      <c r="G48" s="16">
        <v>5717305</v>
      </c>
    </row>
    <row r="49" spans="1:7" x14ac:dyDescent="0.2">
      <c r="A49" s="1">
        <v>45112</v>
      </c>
      <c r="B49" s="15">
        <v>3.7549999999999999</v>
      </c>
      <c r="C49" s="15">
        <v>3.7829999999999999</v>
      </c>
      <c r="D49" s="15">
        <v>3.7229999999999999</v>
      </c>
      <c r="E49" s="15">
        <v>3.7349999999999999</v>
      </c>
      <c r="F49" s="15">
        <v>3.5955300000000001</v>
      </c>
      <c r="G49" s="16">
        <v>11020673</v>
      </c>
    </row>
    <row r="50" spans="1:7" x14ac:dyDescent="0.2">
      <c r="A50" s="1">
        <v>45113</v>
      </c>
      <c r="B50" s="15">
        <v>3.65</v>
      </c>
      <c r="C50" s="15">
        <v>3.7120000000000002</v>
      </c>
      <c r="D50" s="15">
        <v>3.597</v>
      </c>
      <c r="E50" s="15">
        <v>3.673</v>
      </c>
      <c r="F50" s="15">
        <v>3.5358459999999998</v>
      </c>
      <c r="G50" s="16">
        <v>15321411</v>
      </c>
    </row>
    <row r="51" spans="1:7" x14ac:dyDescent="0.2">
      <c r="A51" s="1">
        <v>45114</v>
      </c>
      <c r="B51" s="15">
        <v>3.6760000000000002</v>
      </c>
      <c r="C51" s="15">
        <v>3.6760000000000002</v>
      </c>
      <c r="D51" s="15">
        <v>3.621</v>
      </c>
      <c r="E51" s="15">
        <v>3.6309999999999998</v>
      </c>
      <c r="F51" s="15">
        <v>3.4954139999999998</v>
      </c>
      <c r="G51" s="16">
        <v>11759187</v>
      </c>
    </row>
    <row r="52" spans="1:7" x14ac:dyDescent="0.2">
      <c r="A52" s="1">
        <v>45117</v>
      </c>
      <c r="B52" s="15">
        <v>3.6259999999999999</v>
      </c>
      <c r="C52" s="15">
        <v>3.645</v>
      </c>
      <c r="D52" s="15">
        <v>3.6150000000000002</v>
      </c>
      <c r="E52" s="15">
        <v>3.621</v>
      </c>
      <c r="F52" s="15">
        <v>3.4857870000000002</v>
      </c>
      <c r="G52" s="16">
        <v>8101586</v>
      </c>
    </row>
    <row r="53" spans="1:7" x14ac:dyDescent="0.2">
      <c r="A53" s="1">
        <v>45118</v>
      </c>
      <c r="B53" s="15">
        <v>3.6179999999999999</v>
      </c>
      <c r="C53" s="15">
        <v>3.6219999999999999</v>
      </c>
      <c r="D53" s="15">
        <v>3.585</v>
      </c>
      <c r="E53" s="15">
        <v>3.6179999999999999</v>
      </c>
      <c r="F53" s="15">
        <v>3.4828990000000002</v>
      </c>
      <c r="G53" s="16">
        <v>6884290</v>
      </c>
    </row>
    <row r="54" spans="1:7" x14ac:dyDescent="0.2">
      <c r="A54" s="1">
        <v>45119</v>
      </c>
      <c r="B54" s="15">
        <v>3.63</v>
      </c>
      <c r="C54" s="15">
        <v>3.66</v>
      </c>
      <c r="D54" s="15">
        <v>3.62</v>
      </c>
      <c r="E54" s="15">
        <v>3.66</v>
      </c>
      <c r="F54" s="15">
        <v>3.5233310000000002</v>
      </c>
      <c r="G54" s="16">
        <v>11089527</v>
      </c>
    </row>
    <row r="55" spans="1:7" x14ac:dyDescent="0.2">
      <c r="A55" s="1">
        <v>45120</v>
      </c>
      <c r="B55" s="15">
        <v>3.66</v>
      </c>
      <c r="C55" s="15">
        <v>3.6739999999999999</v>
      </c>
      <c r="D55" s="15">
        <v>3.6309999999999998</v>
      </c>
      <c r="E55" s="15">
        <v>3.6560000000000001</v>
      </c>
      <c r="F55" s="15">
        <v>3.5194800000000002</v>
      </c>
      <c r="G55" s="16">
        <v>8273184</v>
      </c>
    </row>
    <row r="56" spans="1:7" x14ac:dyDescent="0.2">
      <c r="A56" s="1">
        <v>45121</v>
      </c>
      <c r="B56" s="15">
        <v>3.6579999999999999</v>
      </c>
      <c r="C56" s="15">
        <v>3.7029999999999998</v>
      </c>
      <c r="D56" s="15">
        <v>3.6509999999999998</v>
      </c>
      <c r="E56" s="15">
        <v>3.6539999999999999</v>
      </c>
      <c r="F56" s="15">
        <v>3.5175550000000002</v>
      </c>
      <c r="G56" s="16">
        <v>6784860</v>
      </c>
    </row>
    <row r="57" spans="1:7" x14ac:dyDescent="0.2">
      <c r="A57" s="1">
        <v>45124</v>
      </c>
      <c r="B57" s="15">
        <v>3.6480000000000001</v>
      </c>
      <c r="C57" s="15">
        <v>3.718</v>
      </c>
      <c r="D57" s="15">
        <v>3.6480000000000001</v>
      </c>
      <c r="E57" s="15">
        <v>3.6640000000000001</v>
      </c>
      <c r="F57" s="15">
        <v>3.5271819999999998</v>
      </c>
      <c r="G57" s="16">
        <v>55038968</v>
      </c>
    </row>
    <row r="58" spans="1:7" x14ac:dyDescent="0.2">
      <c r="A58" s="1">
        <v>45125</v>
      </c>
      <c r="B58" s="15">
        <v>3.66</v>
      </c>
      <c r="C58" s="15">
        <v>3.66</v>
      </c>
      <c r="D58" s="15">
        <v>3.57</v>
      </c>
      <c r="E58" s="15">
        <v>3.621</v>
      </c>
      <c r="F58" s="15">
        <v>3.4857870000000002</v>
      </c>
      <c r="G58" s="16">
        <v>12299401</v>
      </c>
    </row>
    <row r="59" spans="1:7" x14ac:dyDescent="0.2">
      <c r="A59" s="1">
        <v>45126</v>
      </c>
      <c r="B59" s="15">
        <v>3.6240000000000001</v>
      </c>
      <c r="C59" s="15">
        <v>3.6560000000000001</v>
      </c>
      <c r="D59" s="15">
        <v>3.621</v>
      </c>
      <c r="E59" s="15">
        <v>3.641</v>
      </c>
      <c r="F59" s="15">
        <v>3.5050400000000002</v>
      </c>
      <c r="G59" s="16">
        <v>18502596</v>
      </c>
    </row>
    <row r="60" spans="1:7" x14ac:dyDescent="0.2">
      <c r="A60" s="1">
        <v>45127</v>
      </c>
      <c r="B60" s="15">
        <v>3.6440000000000001</v>
      </c>
      <c r="C60" s="15">
        <v>3.702</v>
      </c>
      <c r="D60" s="15">
        <v>3.6440000000000001</v>
      </c>
      <c r="E60" s="15">
        <v>3.6890000000000001</v>
      </c>
      <c r="F60" s="15">
        <v>3.5512480000000002</v>
      </c>
      <c r="G60" s="16">
        <v>51921054</v>
      </c>
    </row>
    <row r="61" spans="1:7" x14ac:dyDescent="0.2">
      <c r="A61" s="1">
        <v>45128</v>
      </c>
      <c r="B61" s="15">
        <v>3.6890000000000001</v>
      </c>
      <c r="C61" s="15">
        <v>3.73</v>
      </c>
      <c r="D61" s="15">
        <v>3.6739999999999999</v>
      </c>
      <c r="E61" s="15">
        <v>3.726</v>
      </c>
      <c r="F61" s="15">
        <v>3.5868660000000001</v>
      </c>
      <c r="G61" s="16">
        <v>11633965</v>
      </c>
    </row>
    <row r="62" spans="1:7" x14ac:dyDescent="0.2">
      <c r="A62" s="1">
        <v>45131</v>
      </c>
      <c r="B62" s="15">
        <v>3.7040000000000002</v>
      </c>
      <c r="C62" s="15">
        <v>3.8050000000000002</v>
      </c>
      <c r="D62" s="15">
        <v>3.68</v>
      </c>
      <c r="E62" s="15">
        <v>3.7770000000000001</v>
      </c>
      <c r="F62" s="15">
        <v>3.6359620000000001</v>
      </c>
      <c r="G62" s="16">
        <v>8846824</v>
      </c>
    </row>
    <row r="63" spans="1:7" x14ac:dyDescent="0.2">
      <c r="A63" s="1">
        <v>45132</v>
      </c>
      <c r="B63" s="15">
        <v>3.77</v>
      </c>
      <c r="C63" s="15">
        <v>3.7730000000000001</v>
      </c>
      <c r="D63" s="15">
        <v>3.738</v>
      </c>
      <c r="E63" s="15">
        <v>3.7490000000000001</v>
      </c>
      <c r="F63" s="15">
        <v>3.6090080000000002</v>
      </c>
      <c r="G63" s="16">
        <v>6512957</v>
      </c>
    </row>
    <row r="64" spans="1:7" x14ac:dyDescent="0.2">
      <c r="A64" s="1">
        <v>45133</v>
      </c>
      <c r="B64" s="15">
        <v>3.77</v>
      </c>
      <c r="C64" s="15">
        <v>3.8210000000000002</v>
      </c>
      <c r="D64" s="15">
        <v>3.7509999999999999</v>
      </c>
      <c r="E64" s="15">
        <v>3.8140000000000001</v>
      </c>
      <c r="F64" s="15">
        <v>3.6715800000000001</v>
      </c>
      <c r="G64" s="16">
        <v>17865292</v>
      </c>
    </row>
    <row r="65" spans="1:7" x14ac:dyDescent="0.2">
      <c r="A65" s="1">
        <v>45134</v>
      </c>
      <c r="B65" s="15">
        <v>3.8450000000000002</v>
      </c>
      <c r="C65" s="15">
        <v>3.9550000000000001</v>
      </c>
      <c r="D65" s="15">
        <v>3.8340000000000001</v>
      </c>
      <c r="E65" s="15">
        <v>3.95</v>
      </c>
      <c r="F65" s="15">
        <v>3.802502</v>
      </c>
      <c r="G65" s="16">
        <v>25226416</v>
      </c>
    </row>
    <row r="66" spans="1:7" x14ac:dyDescent="0.2">
      <c r="A66" s="1">
        <v>45135</v>
      </c>
      <c r="B66" s="15">
        <v>3.9279999999999999</v>
      </c>
      <c r="C66" s="15">
        <v>3.964</v>
      </c>
      <c r="D66" s="15">
        <v>3.92</v>
      </c>
      <c r="E66" s="15">
        <v>3.9289999999999998</v>
      </c>
      <c r="F66" s="15">
        <v>3.782286</v>
      </c>
      <c r="G66" s="16">
        <v>10168256</v>
      </c>
    </row>
    <row r="67" spans="1:7" x14ac:dyDescent="0.2">
      <c r="A67" s="1">
        <v>45138</v>
      </c>
      <c r="B67" s="15">
        <v>3.93</v>
      </c>
      <c r="C67" s="15">
        <v>3.9359999999999999</v>
      </c>
      <c r="D67" s="15">
        <v>3.8769999999999998</v>
      </c>
      <c r="E67" s="15">
        <v>3.8769999999999998</v>
      </c>
      <c r="F67" s="15">
        <v>3.7322280000000001</v>
      </c>
      <c r="G67" s="16">
        <v>12088374</v>
      </c>
    </row>
    <row r="68" spans="1:7" x14ac:dyDescent="0.2">
      <c r="A68" s="1">
        <v>45139</v>
      </c>
      <c r="B68" s="15">
        <v>3.883</v>
      </c>
      <c r="C68" s="15">
        <v>3.8940000000000001</v>
      </c>
      <c r="D68" s="15">
        <v>3.8210000000000002</v>
      </c>
      <c r="E68" s="15">
        <v>3.827</v>
      </c>
      <c r="F68" s="15">
        <v>3.6840950000000001</v>
      </c>
      <c r="G68" s="16">
        <v>9217809</v>
      </c>
    </row>
    <row r="69" spans="1:7" x14ac:dyDescent="0.2">
      <c r="A69" s="1">
        <v>45140</v>
      </c>
      <c r="B69" s="15">
        <v>3.819</v>
      </c>
      <c r="C69" s="15">
        <v>3.82</v>
      </c>
      <c r="D69" s="15">
        <v>3.532</v>
      </c>
      <c r="E69" s="15">
        <v>3.5579999999999998</v>
      </c>
      <c r="F69" s="15">
        <v>3.4251399999999999</v>
      </c>
      <c r="G69" s="16">
        <v>53783235</v>
      </c>
    </row>
    <row r="70" spans="1:7" x14ac:dyDescent="0.2">
      <c r="A70" s="1">
        <v>45141</v>
      </c>
      <c r="B70" s="15">
        <v>3.544</v>
      </c>
      <c r="C70" s="15">
        <v>3.5710000000000002</v>
      </c>
      <c r="D70" s="15">
        <v>3.5059999999999998</v>
      </c>
      <c r="E70" s="15">
        <v>3.516</v>
      </c>
      <c r="F70" s="15">
        <v>3.3847079999999998</v>
      </c>
      <c r="G70" s="16">
        <v>49720134</v>
      </c>
    </row>
    <row r="71" spans="1:7" x14ac:dyDescent="0.2">
      <c r="A71" s="1">
        <v>45142</v>
      </c>
      <c r="B71" s="15">
        <v>3.5379999999999998</v>
      </c>
      <c r="C71" s="15">
        <v>3.5489999999999999</v>
      </c>
      <c r="D71" s="15">
        <v>3.5059999999999998</v>
      </c>
      <c r="E71" s="15">
        <v>3.5350000000000001</v>
      </c>
      <c r="F71" s="15">
        <v>3.4029989999999999</v>
      </c>
      <c r="G71" s="16">
        <v>9874617</v>
      </c>
    </row>
    <row r="72" spans="1:7" x14ac:dyDescent="0.2">
      <c r="A72" s="1">
        <v>45145</v>
      </c>
      <c r="B72" s="15">
        <v>3.5310000000000001</v>
      </c>
      <c r="C72" s="15">
        <v>3.5350000000000001</v>
      </c>
      <c r="D72" s="15">
        <v>3.5</v>
      </c>
      <c r="E72" s="15">
        <v>3.5139999999999998</v>
      </c>
      <c r="F72" s="15">
        <v>3.3827829999999999</v>
      </c>
      <c r="G72" s="16">
        <v>7915479</v>
      </c>
    </row>
    <row r="73" spans="1:7" x14ac:dyDescent="0.2">
      <c r="A73" s="1">
        <v>45146</v>
      </c>
      <c r="B73" s="15">
        <v>3.5009999999999999</v>
      </c>
      <c r="C73" s="15">
        <v>3.5249999999999999</v>
      </c>
      <c r="D73" s="15">
        <v>3.4860000000000002</v>
      </c>
      <c r="E73" s="15">
        <v>3.516</v>
      </c>
      <c r="F73" s="15">
        <v>3.3847079999999998</v>
      </c>
      <c r="G73" s="16">
        <v>8158893</v>
      </c>
    </row>
    <row r="74" spans="1:7" x14ac:dyDescent="0.2">
      <c r="A74" s="1">
        <v>45147</v>
      </c>
      <c r="B74" s="15">
        <v>3.53</v>
      </c>
      <c r="C74" s="15">
        <v>3.5760000000000001</v>
      </c>
      <c r="D74" s="15">
        <v>3.5249999999999999</v>
      </c>
      <c r="E74" s="15">
        <v>3.5670000000000002</v>
      </c>
      <c r="F74" s="15">
        <v>3.4338039999999999</v>
      </c>
      <c r="G74" s="16">
        <v>8866104</v>
      </c>
    </row>
    <row r="75" spans="1:7" x14ac:dyDescent="0.2">
      <c r="A75" s="1">
        <v>45148</v>
      </c>
      <c r="B75" s="15">
        <v>3.5790000000000002</v>
      </c>
      <c r="C75" s="15">
        <v>3.6459999999999999</v>
      </c>
      <c r="D75" s="15">
        <v>3.5790000000000002</v>
      </c>
      <c r="E75" s="15">
        <v>3.6339999999999999</v>
      </c>
      <c r="F75" s="15">
        <v>3.4983019999999998</v>
      </c>
      <c r="G75" s="16">
        <v>10799573</v>
      </c>
    </row>
    <row r="76" spans="1:7" x14ac:dyDescent="0.2">
      <c r="A76" s="1">
        <v>45149</v>
      </c>
      <c r="B76" s="15">
        <v>3.63</v>
      </c>
      <c r="C76" s="15">
        <v>3.6629999999999998</v>
      </c>
      <c r="D76" s="15">
        <v>3.6219999999999999</v>
      </c>
      <c r="E76" s="15">
        <v>3.6339999999999999</v>
      </c>
      <c r="F76" s="15">
        <v>3.4983019999999998</v>
      </c>
      <c r="G76" s="16">
        <v>16498318</v>
      </c>
    </row>
    <row r="77" spans="1:7" x14ac:dyDescent="0.2">
      <c r="A77" s="1">
        <v>45152</v>
      </c>
      <c r="B77" s="15">
        <v>3.63</v>
      </c>
      <c r="C77" s="15">
        <v>3.6589999999999998</v>
      </c>
      <c r="D77" s="15">
        <v>3.63</v>
      </c>
      <c r="E77" s="15">
        <v>3.65</v>
      </c>
      <c r="F77" s="15">
        <v>3.5137040000000002</v>
      </c>
      <c r="G77" s="16">
        <v>7727578</v>
      </c>
    </row>
    <row r="78" spans="1:7" x14ac:dyDescent="0.2">
      <c r="A78" s="1">
        <v>45153</v>
      </c>
      <c r="B78" s="15">
        <v>3.64</v>
      </c>
      <c r="C78" s="15">
        <v>3.6659999999999999</v>
      </c>
      <c r="D78" s="15">
        <v>3.609</v>
      </c>
      <c r="E78" s="15">
        <v>3.6219999999999999</v>
      </c>
      <c r="F78" s="15">
        <v>3.4867499999999998</v>
      </c>
      <c r="G78" s="16">
        <v>5347518</v>
      </c>
    </row>
    <row r="79" spans="1:7" x14ac:dyDescent="0.2">
      <c r="A79" s="1">
        <v>45154</v>
      </c>
      <c r="B79" s="15">
        <v>3.605</v>
      </c>
      <c r="C79" s="15">
        <v>3.609</v>
      </c>
      <c r="D79" s="15">
        <v>3.5649999999999999</v>
      </c>
      <c r="E79" s="15">
        <v>3.6</v>
      </c>
      <c r="F79" s="15">
        <v>3.4655710000000002</v>
      </c>
      <c r="G79" s="16">
        <v>7021018</v>
      </c>
    </row>
    <row r="80" spans="1:7" x14ac:dyDescent="0.2">
      <c r="A80" s="1">
        <v>45155</v>
      </c>
      <c r="B80" s="15">
        <v>3.585</v>
      </c>
      <c r="C80" s="15">
        <v>3.605</v>
      </c>
      <c r="D80" s="15">
        <v>3.573</v>
      </c>
      <c r="E80" s="15">
        <v>3.6030000000000002</v>
      </c>
      <c r="F80" s="15">
        <v>3.4684590000000002</v>
      </c>
      <c r="G80" s="16">
        <v>6430194</v>
      </c>
    </row>
    <row r="81" spans="1:7" x14ac:dyDescent="0.2">
      <c r="A81" s="1">
        <v>45156</v>
      </c>
      <c r="B81" s="15">
        <v>3.585</v>
      </c>
      <c r="C81" s="15">
        <v>3.6379999999999999</v>
      </c>
      <c r="D81" s="15">
        <v>3.5819999999999999</v>
      </c>
      <c r="E81" s="15">
        <v>3.6259999999999999</v>
      </c>
      <c r="F81" s="15">
        <v>3.4906000000000001</v>
      </c>
      <c r="G81" s="16">
        <v>8760156</v>
      </c>
    </row>
    <row r="82" spans="1:7" x14ac:dyDescent="0.2">
      <c r="A82" s="1">
        <v>45159</v>
      </c>
      <c r="B82" s="15">
        <v>3.6019999999999999</v>
      </c>
      <c r="C82" s="15">
        <v>3.653</v>
      </c>
      <c r="D82" s="15">
        <v>3.6</v>
      </c>
      <c r="E82" s="15">
        <v>3.6080000000000001</v>
      </c>
      <c r="F82" s="15">
        <v>3.4732729999999998</v>
      </c>
      <c r="G82" s="16">
        <v>5469966</v>
      </c>
    </row>
    <row r="83" spans="1:7" x14ac:dyDescent="0.2">
      <c r="A83" s="1">
        <v>45160</v>
      </c>
      <c r="B83" s="15">
        <v>3.6179999999999999</v>
      </c>
      <c r="C83" s="15">
        <v>3.6469999999999998</v>
      </c>
      <c r="D83" s="15">
        <v>3.601</v>
      </c>
      <c r="E83" s="15">
        <v>3.6080000000000001</v>
      </c>
      <c r="F83" s="15">
        <v>3.4732729999999998</v>
      </c>
      <c r="G83" s="16">
        <v>4383686</v>
      </c>
    </row>
    <row r="84" spans="1:7" x14ac:dyDescent="0.2">
      <c r="A84" s="1">
        <v>45161</v>
      </c>
      <c r="B84" s="15">
        <v>3.6179999999999999</v>
      </c>
      <c r="C84" s="15">
        <v>3.665</v>
      </c>
      <c r="D84" s="15">
        <v>3.6150000000000002</v>
      </c>
      <c r="E84" s="15">
        <v>3.665</v>
      </c>
      <c r="F84" s="15">
        <v>3.5281440000000002</v>
      </c>
      <c r="G84" s="16">
        <v>6849872</v>
      </c>
    </row>
    <row r="85" spans="1:7" x14ac:dyDescent="0.2">
      <c r="A85" s="1">
        <v>45162</v>
      </c>
      <c r="B85" s="15">
        <v>3.68</v>
      </c>
      <c r="C85" s="15">
        <v>3.698</v>
      </c>
      <c r="D85" s="15">
        <v>3.6680000000000001</v>
      </c>
      <c r="E85" s="15">
        <v>3.69</v>
      </c>
      <c r="F85" s="15">
        <v>3.5522109999999998</v>
      </c>
      <c r="G85" s="16">
        <v>6502489</v>
      </c>
    </row>
    <row r="86" spans="1:7" x14ac:dyDescent="0.2">
      <c r="A86" s="1">
        <v>45163</v>
      </c>
      <c r="B86" s="15">
        <v>3.6850000000000001</v>
      </c>
      <c r="C86" s="15">
        <v>3.722</v>
      </c>
      <c r="D86" s="15">
        <v>3.6779999999999999</v>
      </c>
      <c r="E86" s="15">
        <v>3.6869999999999998</v>
      </c>
      <c r="F86" s="15">
        <v>3.5493229999999998</v>
      </c>
      <c r="G86" s="16">
        <v>5661820</v>
      </c>
    </row>
    <row r="87" spans="1:7" x14ac:dyDescent="0.2">
      <c r="A87" s="1">
        <v>45166</v>
      </c>
      <c r="B87" s="15">
        <v>3.6970000000000001</v>
      </c>
      <c r="C87" s="15">
        <v>3.7389999999999999</v>
      </c>
      <c r="D87" s="15">
        <v>3.6960000000000002</v>
      </c>
      <c r="E87" s="15">
        <v>3.7309999999999999</v>
      </c>
      <c r="F87" s="15">
        <v>3.5916800000000002</v>
      </c>
      <c r="G87" s="16">
        <v>759374</v>
      </c>
    </row>
    <row r="88" spans="1:7" x14ac:dyDescent="0.2">
      <c r="A88" s="1">
        <v>45167</v>
      </c>
      <c r="B88" s="15">
        <v>3.76</v>
      </c>
      <c r="C88" s="15">
        <v>3.8050000000000002</v>
      </c>
      <c r="D88" s="15">
        <v>3.75</v>
      </c>
      <c r="E88" s="15">
        <v>3.7949999999999999</v>
      </c>
      <c r="F88" s="15">
        <v>3.6532900000000001</v>
      </c>
      <c r="G88" s="16">
        <v>70882267</v>
      </c>
    </row>
    <row r="89" spans="1:7" x14ac:dyDescent="0.2">
      <c r="A89" s="1">
        <v>45168</v>
      </c>
      <c r="B89" s="15">
        <v>3.7949999999999999</v>
      </c>
      <c r="C89" s="15">
        <v>3.8460000000000001</v>
      </c>
      <c r="D89" s="15">
        <v>3.79</v>
      </c>
      <c r="E89" s="15">
        <v>3.8159999999999998</v>
      </c>
      <c r="F89" s="15">
        <v>3.6735060000000002</v>
      </c>
      <c r="G89" s="16">
        <v>10169849</v>
      </c>
    </row>
    <row r="90" spans="1:7" x14ac:dyDescent="0.2">
      <c r="A90" s="1">
        <v>45169</v>
      </c>
      <c r="B90" s="15">
        <v>3.8159999999999998</v>
      </c>
      <c r="C90" s="15">
        <v>3.8620000000000001</v>
      </c>
      <c r="D90" s="15">
        <v>3.8159999999999998</v>
      </c>
      <c r="E90" s="15">
        <v>3.8239999999999998</v>
      </c>
      <c r="F90" s="15">
        <v>3.6812070000000001</v>
      </c>
      <c r="G90" s="16">
        <v>11636688</v>
      </c>
    </row>
    <row r="91" spans="1:7" x14ac:dyDescent="0.2">
      <c r="A91" s="1">
        <v>45170</v>
      </c>
      <c r="B91" s="15">
        <v>3.8250000000000002</v>
      </c>
      <c r="C91" s="15">
        <v>3.8519999999999999</v>
      </c>
      <c r="D91" s="15">
        <v>3.8210000000000002</v>
      </c>
      <c r="E91" s="15">
        <v>3.8279999999999998</v>
      </c>
      <c r="F91" s="15">
        <v>3.6850580000000002</v>
      </c>
      <c r="G91" s="16">
        <v>4238836</v>
      </c>
    </row>
    <row r="92" spans="1:7" x14ac:dyDescent="0.2">
      <c r="A92" s="1">
        <v>45173</v>
      </c>
      <c r="B92" s="15">
        <v>3.84</v>
      </c>
      <c r="C92" s="15">
        <v>3.8420000000000001</v>
      </c>
      <c r="D92" s="15">
        <v>3.7360000000000002</v>
      </c>
      <c r="E92" s="15">
        <v>3.7530000000000001</v>
      </c>
      <c r="F92" s="15">
        <v>3.6128580000000001</v>
      </c>
      <c r="G92" s="16">
        <v>8278421</v>
      </c>
    </row>
    <row r="93" spans="1:7" x14ac:dyDescent="0.2">
      <c r="A93" s="1">
        <v>45174</v>
      </c>
      <c r="B93" s="15">
        <v>3.7410000000000001</v>
      </c>
      <c r="C93" s="15">
        <v>3.7690000000000001</v>
      </c>
      <c r="D93" s="15">
        <v>3.71</v>
      </c>
      <c r="E93" s="15">
        <v>3.7509999999999999</v>
      </c>
      <c r="F93" s="15">
        <v>3.6109330000000002</v>
      </c>
      <c r="G93" s="16">
        <v>7413892</v>
      </c>
    </row>
    <row r="94" spans="1:7" x14ac:dyDescent="0.2">
      <c r="A94" s="1">
        <v>45175</v>
      </c>
      <c r="B94" s="15">
        <v>3.8809999999999998</v>
      </c>
      <c r="C94" s="15">
        <v>3.8889999999999998</v>
      </c>
      <c r="D94" s="15">
        <v>3.7559999999999998</v>
      </c>
      <c r="E94" s="15">
        <v>3.7610000000000001</v>
      </c>
      <c r="F94" s="15">
        <v>3.6205590000000001</v>
      </c>
      <c r="G94" s="16">
        <v>15212576</v>
      </c>
    </row>
    <row r="95" spans="1:7" x14ac:dyDescent="0.2">
      <c r="A95" s="1">
        <v>45176</v>
      </c>
      <c r="B95" s="15">
        <v>3.7719999999999998</v>
      </c>
      <c r="C95" s="15">
        <v>3.8450000000000002</v>
      </c>
      <c r="D95" s="15">
        <v>3.7610000000000001</v>
      </c>
      <c r="E95" s="15">
        <v>3.839</v>
      </c>
      <c r="F95" s="15">
        <v>3.6956470000000001</v>
      </c>
      <c r="G95" s="16">
        <v>10062494</v>
      </c>
    </row>
    <row r="96" spans="1:7" x14ac:dyDescent="0.2">
      <c r="A96" s="1">
        <v>45177</v>
      </c>
      <c r="B96" s="15">
        <v>3.8519999999999999</v>
      </c>
      <c r="C96" s="15">
        <v>3.8660000000000001</v>
      </c>
      <c r="D96" s="15">
        <v>3.8330000000000002</v>
      </c>
      <c r="E96" s="15">
        <v>3.8460000000000001</v>
      </c>
      <c r="F96" s="15">
        <v>3.702385</v>
      </c>
      <c r="G96" s="16">
        <v>5396519</v>
      </c>
    </row>
    <row r="97" spans="1:7" x14ac:dyDescent="0.2">
      <c r="A97" s="1">
        <v>45180</v>
      </c>
      <c r="B97" s="15">
        <v>3.8620000000000001</v>
      </c>
      <c r="C97" s="15">
        <v>3.907</v>
      </c>
      <c r="D97" s="15">
        <v>3.8580000000000001</v>
      </c>
      <c r="E97" s="15">
        <v>3.8940000000000001</v>
      </c>
      <c r="F97" s="15">
        <v>3.7485930000000001</v>
      </c>
      <c r="G97" s="16">
        <v>7095095</v>
      </c>
    </row>
    <row r="98" spans="1:7" x14ac:dyDescent="0.2">
      <c r="A98" s="1">
        <v>45181</v>
      </c>
      <c r="B98" s="15">
        <v>3.91</v>
      </c>
      <c r="C98" s="15">
        <v>3.9729999999999999</v>
      </c>
      <c r="D98" s="15">
        <v>3.907</v>
      </c>
      <c r="E98" s="15">
        <v>3.94</v>
      </c>
      <c r="F98" s="15">
        <v>3.792875</v>
      </c>
      <c r="G98" s="16">
        <v>17047653</v>
      </c>
    </row>
    <row r="99" spans="1:7" x14ac:dyDescent="0.2">
      <c r="A99" s="1">
        <v>45182</v>
      </c>
      <c r="B99" s="15">
        <v>3.9369999999999998</v>
      </c>
      <c r="C99" s="15">
        <v>3.9769999999999999</v>
      </c>
      <c r="D99" s="15">
        <v>3.9159999999999999</v>
      </c>
      <c r="E99" s="15">
        <v>3.9569999999999999</v>
      </c>
      <c r="F99" s="15">
        <v>3.8092410000000001</v>
      </c>
      <c r="G99" s="16">
        <v>9564602</v>
      </c>
    </row>
    <row r="100" spans="1:7" x14ac:dyDescent="0.2">
      <c r="A100" s="1">
        <v>45183</v>
      </c>
      <c r="B100" s="15">
        <v>3.9279999999999999</v>
      </c>
      <c r="C100" s="15">
        <v>3.95</v>
      </c>
      <c r="D100" s="15">
        <v>3.871</v>
      </c>
      <c r="E100" s="15">
        <v>3.9449999999999998</v>
      </c>
      <c r="F100" s="15">
        <v>3.797688</v>
      </c>
      <c r="G100" s="16">
        <v>10354229</v>
      </c>
    </row>
    <row r="101" spans="1:7" x14ac:dyDescent="0.2">
      <c r="A101" s="1">
        <v>45184</v>
      </c>
      <c r="B101" s="15">
        <v>3.9620000000000002</v>
      </c>
      <c r="C101" s="15">
        <v>3.9969999999999999</v>
      </c>
      <c r="D101" s="15">
        <v>3.93</v>
      </c>
      <c r="E101" s="15">
        <v>3.9369999999999998</v>
      </c>
      <c r="F101" s="15">
        <v>3.789987</v>
      </c>
      <c r="G101" s="16">
        <v>25817317</v>
      </c>
    </row>
    <row r="102" spans="1:7" x14ac:dyDescent="0.2">
      <c r="A102" s="1">
        <v>45187</v>
      </c>
      <c r="B102" s="15">
        <v>3.9329999999999998</v>
      </c>
      <c r="C102" s="15">
        <v>3.9969999999999999</v>
      </c>
      <c r="D102" s="15">
        <v>3.9119999999999999</v>
      </c>
      <c r="E102" s="15">
        <v>3.9870000000000001</v>
      </c>
      <c r="F102" s="15">
        <v>3.83812</v>
      </c>
      <c r="G102" s="16">
        <v>10081339</v>
      </c>
    </row>
    <row r="103" spans="1:7" x14ac:dyDescent="0.2">
      <c r="A103" s="1">
        <v>45188</v>
      </c>
      <c r="B103" s="15">
        <v>3.992</v>
      </c>
      <c r="C103" s="15">
        <v>4.0330000000000004</v>
      </c>
      <c r="D103" s="15">
        <v>3.99</v>
      </c>
      <c r="E103" s="15">
        <v>4.0270000000000001</v>
      </c>
      <c r="F103" s="15">
        <v>3.8766259999999999</v>
      </c>
      <c r="G103" s="16">
        <v>8107232</v>
      </c>
    </row>
    <row r="104" spans="1:7" x14ac:dyDescent="0.2">
      <c r="A104" s="1">
        <v>45189</v>
      </c>
      <c r="B104" s="15">
        <v>4.0199999999999996</v>
      </c>
      <c r="C104" s="15">
        <v>4.0979999999999999</v>
      </c>
      <c r="D104" s="15">
        <v>4.0199999999999996</v>
      </c>
      <c r="E104" s="15">
        <v>4.0890000000000004</v>
      </c>
      <c r="F104" s="15">
        <v>3.936312</v>
      </c>
      <c r="G104" s="16">
        <v>11966297</v>
      </c>
    </row>
    <row r="105" spans="1:7" x14ac:dyDescent="0.2">
      <c r="A105" s="1">
        <v>45190</v>
      </c>
      <c r="B105" s="15">
        <v>4.0880000000000001</v>
      </c>
      <c r="C105" s="15">
        <v>4.0970000000000004</v>
      </c>
      <c r="D105" s="15">
        <v>4.0380000000000003</v>
      </c>
      <c r="E105" s="15">
        <v>4.08</v>
      </c>
      <c r="F105" s="15">
        <v>3.9276469999999999</v>
      </c>
      <c r="G105" s="16">
        <v>10198271</v>
      </c>
    </row>
    <row r="106" spans="1:7" x14ac:dyDescent="0.2">
      <c r="A106" s="1">
        <v>45191</v>
      </c>
      <c r="B106" s="15">
        <v>4.0590000000000002</v>
      </c>
      <c r="C106" s="15">
        <v>4.0609999999999999</v>
      </c>
      <c r="D106" s="15">
        <v>4.024</v>
      </c>
      <c r="E106" s="15">
        <v>4.0419999999999998</v>
      </c>
      <c r="F106" s="15">
        <v>3.8910659999999999</v>
      </c>
      <c r="G106" s="16">
        <v>26136906</v>
      </c>
    </row>
    <row r="107" spans="1:7" x14ac:dyDescent="0.2">
      <c r="A107" s="1">
        <v>45194</v>
      </c>
      <c r="B107" s="15">
        <v>4.03</v>
      </c>
      <c r="C107" s="15">
        <v>4.0380000000000003</v>
      </c>
      <c r="D107" s="15">
        <v>3.931</v>
      </c>
      <c r="E107" s="15">
        <v>3.9649999999999999</v>
      </c>
      <c r="F107" s="15">
        <v>3.8169420000000001</v>
      </c>
      <c r="G107" s="16">
        <v>10662306</v>
      </c>
    </row>
    <row r="108" spans="1:7" x14ac:dyDescent="0.2">
      <c r="A108" s="1">
        <v>45195</v>
      </c>
      <c r="B108" s="15">
        <v>3.9580000000000002</v>
      </c>
      <c r="C108" s="15">
        <v>3.9590000000000001</v>
      </c>
      <c r="D108" s="15">
        <v>3.91</v>
      </c>
      <c r="E108" s="15">
        <v>3.9319999999999999</v>
      </c>
      <c r="F108" s="15">
        <v>3.785174</v>
      </c>
      <c r="G108" s="16">
        <v>13249802</v>
      </c>
    </row>
    <row r="109" spans="1:7" x14ac:dyDescent="0.2">
      <c r="A109" s="1">
        <v>45196</v>
      </c>
      <c r="B109" s="15">
        <v>3.923</v>
      </c>
      <c r="C109" s="15">
        <v>3.9279999999999999</v>
      </c>
      <c r="D109" s="15">
        <v>3.8460000000000001</v>
      </c>
      <c r="E109" s="15">
        <v>3.8650000000000002</v>
      </c>
      <c r="F109" s="15">
        <v>3.7206760000000001</v>
      </c>
      <c r="G109" s="16">
        <v>29973063</v>
      </c>
    </row>
    <row r="110" spans="1:7" x14ac:dyDescent="0.2">
      <c r="A110" s="1">
        <v>45197</v>
      </c>
      <c r="B110" s="15">
        <v>3.8650000000000002</v>
      </c>
      <c r="C110" s="15">
        <v>3.9009999999999998</v>
      </c>
      <c r="D110" s="15">
        <v>3.8380000000000001</v>
      </c>
      <c r="E110" s="15">
        <v>3.8679999999999999</v>
      </c>
      <c r="F110" s="15">
        <v>3.7235640000000001</v>
      </c>
      <c r="G110" s="16">
        <v>15187804</v>
      </c>
    </row>
    <row r="111" spans="1:7" x14ac:dyDescent="0.2">
      <c r="A111" s="1">
        <v>45198</v>
      </c>
      <c r="B111" s="15">
        <v>3.887</v>
      </c>
      <c r="C111" s="15">
        <v>3.887</v>
      </c>
      <c r="D111" s="15">
        <v>3.8250000000000002</v>
      </c>
      <c r="E111" s="15">
        <v>3.8679999999999999</v>
      </c>
      <c r="F111" s="15">
        <v>3.7235640000000001</v>
      </c>
      <c r="G111" s="16">
        <v>10848046</v>
      </c>
    </row>
    <row r="112" spans="1:7" x14ac:dyDescent="0.2">
      <c r="A112" s="1">
        <v>45201</v>
      </c>
      <c r="B112" s="15">
        <v>3.859</v>
      </c>
      <c r="C112" s="15">
        <v>3.8860000000000001</v>
      </c>
      <c r="D112" s="15">
        <v>3.8159999999999998</v>
      </c>
      <c r="E112" s="15">
        <v>3.823</v>
      </c>
      <c r="F112" s="15">
        <v>3.6802440000000001</v>
      </c>
      <c r="G112" s="16">
        <v>12244423</v>
      </c>
    </row>
    <row r="113" spans="1:7" x14ac:dyDescent="0.2">
      <c r="A113" s="1">
        <v>45202</v>
      </c>
      <c r="B113" s="15">
        <v>3.82</v>
      </c>
      <c r="C113" s="15">
        <v>3.8370000000000002</v>
      </c>
      <c r="D113" s="15">
        <v>3.7450000000000001</v>
      </c>
      <c r="E113" s="15">
        <v>3.7749999999999999</v>
      </c>
      <c r="F113" s="15">
        <v>3.6340370000000002</v>
      </c>
      <c r="G113" s="16">
        <v>12204582</v>
      </c>
    </row>
    <row r="114" spans="1:7" x14ac:dyDescent="0.2">
      <c r="A114" s="1">
        <v>45203</v>
      </c>
      <c r="B114" s="15">
        <v>3.7669999999999999</v>
      </c>
      <c r="C114" s="15">
        <v>3.7959999999999998</v>
      </c>
      <c r="D114" s="15">
        <v>3.7320000000000002</v>
      </c>
      <c r="E114" s="15">
        <v>3.738</v>
      </c>
      <c r="F114" s="15">
        <v>3.5984180000000001</v>
      </c>
      <c r="G114" s="16">
        <v>15394631</v>
      </c>
    </row>
    <row r="115" spans="1:7" x14ac:dyDescent="0.2">
      <c r="A115" s="1">
        <v>45204</v>
      </c>
      <c r="B115" s="15">
        <v>3.762</v>
      </c>
      <c r="C115" s="15">
        <v>3.8069999999999999</v>
      </c>
      <c r="D115" s="15">
        <v>3.726</v>
      </c>
      <c r="E115" s="15">
        <v>3.7850000000000001</v>
      </c>
      <c r="F115" s="15">
        <v>3.6436630000000001</v>
      </c>
      <c r="G115" s="16">
        <v>7198980</v>
      </c>
    </row>
    <row r="116" spans="1:7" x14ac:dyDescent="0.2">
      <c r="A116" s="1">
        <v>45205</v>
      </c>
      <c r="B116" s="15">
        <v>3.81</v>
      </c>
      <c r="C116" s="15">
        <v>3.8250000000000002</v>
      </c>
      <c r="D116" s="15">
        <v>3.7360000000000002</v>
      </c>
      <c r="E116" s="15">
        <v>3.7879999999999998</v>
      </c>
      <c r="F116" s="15">
        <v>3.6465510000000001</v>
      </c>
      <c r="G116" s="16">
        <v>7207197</v>
      </c>
    </row>
    <row r="117" spans="1:7" x14ac:dyDescent="0.2">
      <c r="A117" s="1">
        <v>45208</v>
      </c>
      <c r="B117" s="15">
        <v>3.77</v>
      </c>
      <c r="C117" s="15">
        <v>3.8210000000000002</v>
      </c>
      <c r="D117" s="15">
        <v>3.76</v>
      </c>
      <c r="E117" s="15">
        <v>3.8140000000000001</v>
      </c>
      <c r="F117" s="15">
        <v>3.6715800000000001</v>
      </c>
      <c r="G117" s="16">
        <v>7847111</v>
      </c>
    </row>
    <row r="118" spans="1:7" x14ac:dyDescent="0.2">
      <c r="A118" s="1">
        <v>45209</v>
      </c>
      <c r="B118" s="15">
        <v>3.84</v>
      </c>
      <c r="C118" s="15">
        <v>3.8849999999999998</v>
      </c>
      <c r="D118" s="15">
        <v>3.84</v>
      </c>
      <c r="E118" s="15">
        <v>3.855</v>
      </c>
      <c r="F118" s="15">
        <v>3.711049</v>
      </c>
      <c r="G118" s="16">
        <v>8664454</v>
      </c>
    </row>
    <row r="119" spans="1:7" x14ac:dyDescent="0.2">
      <c r="A119" s="1">
        <v>45210</v>
      </c>
      <c r="B119" s="15">
        <v>3.8450000000000002</v>
      </c>
      <c r="C119" s="15">
        <v>3.8959999999999999</v>
      </c>
      <c r="D119" s="15">
        <v>3.835</v>
      </c>
      <c r="E119" s="15">
        <v>3.867</v>
      </c>
      <c r="F119" s="15">
        <v>3.722601</v>
      </c>
      <c r="G119" s="16">
        <v>9654541</v>
      </c>
    </row>
    <row r="120" spans="1:7" x14ac:dyDescent="0.2">
      <c r="A120" s="1">
        <v>45211</v>
      </c>
      <c r="B120" s="15">
        <v>3.8559999999999999</v>
      </c>
      <c r="C120" s="15">
        <v>3.875</v>
      </c>
      <c r="D120" s="15">
        <v>3.8290000000000002</v>
      </c>
      <c r="E120" s="15">
        <v>3.8460000000000001</v>
      </c>
      <c r="F120" s="15">
        <v>3.702385</v>
      </c>
      <c r="G120" s="16">
        <v>6133946</v>
      </c>
    </row>
    <row r="121" spans="1:7" x14ac:dyDescent="0.2">
      <c r="A121" s="1">
        <v>45212</v>
      </c>
      <c r="B121" s="15">
        <v>3.8439999999999999</v>
      </c>
      <c r="C121" s="15">
        <v>3.88</v>
      </c>
      <c r="D121" s="15">
        <v>3.8290000000000002</v>
      </c>
      <c r="E121" s="15">
        <v>3.8410000000000002</v>
      </c>
      <c r="F121" s="15">
        <v>3.6975720000000001</v>
      </c>
      <c r="G121" s="16">
        <v>4949700</v>
      </c>
    </row>
    <row r="122" spans="1:7" x14ac:dyDescent="0.2">
      <c r="A122" s="1">
        <v>45215</v>
      </c>
      <c r="B122" s="15">
        <v>3.847</v>
      </c>
      <c r="C122" s="15">
        <v>3.86</v>
      </c>
      <c r="D122" s="15">
        <v>3.8170000000000002</v>
      </c>
      <c r="E122" s="15">
        <v>3.847</v>
      </c>
      <c r="F122" s="15">
        <v>3.7033480000000001</v>
      </c>
      <c r="G122" s="16">
        <v>4366830</v>
      </c>
    </row>
    <row r="123" spans="1:7" x14ac:dyDescent="0.2">
      <c r="A123" s="1">
        <v>45216</v>
      </c>
      <c r="B123" s="15">
        <v>3.8479999999999999</v>
      </c>
      <c r="C123" s="15">
        <v>3.8660000000000001</v>
      </c>
      <c r="D123" s="15">
        <v>3.83</v>
      </c>
      <c r="E123" s="15">
        <v>3.85</v>
      </c>
      <c r="F123" s="15">
        <v>3.7062360000000001</v>
      </c>
      <c r="G123" s="16">
        <v>4442105</v>
      </c>
    </row>
    <row r="124" spans="1:7" x14ac:dyDescent="0.2">
      <c r="A124" s="1">
        <v>45217</v>
      </c>
      <c r="B124" s="15">
        <v>3.839</v>
      </c>
      <c r="C124" s="15">
        <v>3.887</v>
      </c>
      <c r="D124" s="15">
        <v>3.8380000000000001</v>
      </c>
      <c r="E124" s="15">
        <v>3.8479999999999999</v>
      </c>
      <c r="F124" s="15">
        <v>3.7043110000000001</v>
      </c>
      <c r="G124" s="16">
        <v>7805815</v>
      </c>
    </row>
    <row r="125" spans="1:7" x14ac:dyDescent="0.2">
      <c r="A125" s="1">
        <v>45218</v>
      </c>
      <c r="B125" s="15">
        <v>3.8279999999999998</v>
      </c>
      <c r="C125" s="15">
        <v>3.8450000000000002</v>
      </c>
      <c r="D125" s="15">
        <v>3.76</v>
      </c>
      <c r="E125" s="15">
        <v>3.802</v>
      </c>
      <c r="F125" s="15">
        <v>3.6600280000000001</v>
      </c>
      <c r="G125" s="16">
        <v>10753685</v>
      </c>
    </row>
    <row r="126" spans="1:7" x14ac:dyDescent="0.2">
      <c r="A126" s="1">
        <v>45219</v>
      </c>
      <c r="B126" s="15">
        <v>3.7509999999999999</v>
      </c>
      <c r="C126" s="15">
        <v>3.79</v>
      </c>
      <c r="D126" s="15">
        <v>3.6760000000000002</v>
      </c>
      <c r="E126" s="15">
        <v>3.7360000000000002</v>
      </c>
      <c r="F126" s="15">
        <v>3.5964930000000002</v>
      </c>
      <c r="G126" s="16">
        <v>19944567</v>
      </c>
    </row>
    <row r="127" spans="1:7" x14ac:dyDescent="0.2">
      <c r="A127" s="1">
        <v>45222</v>
      </c>
      <c r="B127" s="15">
        <v>3.7309999999999999</v>
      </c>
      <c r="C127" s="15">
        <v>3.7349999999999999</v>
      </c>
      <c r="D127" s="15">
        <v>3.66</v>
      </c>
      <c r="E127" s="15">
        <v>3.6869999999999998</v>
      </c>
      <c r="F127" s="15">
        <v>3.5493229999999998</v>
      </c>
      <c r="G127" s="16">
        <v>11243677</v>
      </c>
    </row>
    <row r="128" spans="1:7" x14ac:dyDescent="0.2">
      <c r="A128" s="1">
        <v>45223</v>
      </c>
      <c r="B128" s="15">
        <v>3.6739999999999999</v>
      </c>
      <c r="C128" s="15">
        <v>3.6739999999999999</v>
      </c>
      <c r="D128" s="15">
        <v>3.63</v>
      </c>
      <c r="E128" s="15">
        <v>3.6549999999999998</v>
      </c>
      <c r="F128" s="15">
        <v>3.5185170000000001</v>
      </c>
      <c r="G128" s="16">
        <v>11357524</v>
      </c>
    </row>
    <row r="129" spans="1:7" x14ac:dyDescent="0.2">
      <c r="A129" s="1">
        <v>45224</v>
      </c>
      <c r="B129" s="15">
        <v>3.625</v>
      </c>
      <c r="C129" s="15">
        <v>3.6360000000000001</v>
      </c>
      <c r="D129" s="15">
        <v>3.5550000000000002</v>
      </c>
      <c r="E129" s="15">
        <v>3.5739999999999998</v>
      </c>
      <c r="F129" s="15">
        <v>3.4405420000000002</v>
      </c>
      <c r="G129" s="16">
        <v>17557812</v>
      </c>
    </row>
    <row r="130" spans="1:7" x14ac:dyDescent="0.2">
      <c r="A130" s="1">
        <v>45225</v>
      </c>
      <c r="B130" s="15">
        <v>3.5550000000000002</v>
      </c>
      <c r="C130" s="15">
        <v>3.57</v>
      </c>
      <c r="D130" s="15">
        <v>3.532</v>
      </c>
      <c r="E130" s="15">
        <v>3.5590000000000002</v>
      </c>
      <c r="F130" s="15">
        <v>3.4261020000000002</v>
      </c>
      <c r="G130" s="16">
        <v>10387258</v>
      </c>
    </row>
    <row r="131" spans="1:7" x14ac:dyDescent="0.2">
      <c r="A131" s="1">
        <v>45226</v>
      </c>
      <c r="B131" s="15">
        <v>3.5619999999999998</v>
      </c>
      <c r="C131" s="15">
        <v>3.6059999999999999</v>
      </c>
      <c r="D131" s="15">
        <v>3.5609999999999999</v>
      </c>
      <c r="E131" s="15">
        <v>3.57</v>
      </c>
      <c r="F131" s="15">
        <v>3.4366919999999999</v>
      </c>
      <c r="G131" s="16">
        <v>8840389</v>
      </c>
    </row>
    <row r="132" spans="1:7" x14ac:dyDescent="0.2">
      <c r="A132" s="1">
        <v>45229</v>
      </c>
      <c r="B132" s="15">
        <v>3.5859999999999999</v>
      </c>
      <c r="C132" s="15">
        <v>3.6789999999999998</v>
      </c>
      <c r="D132" s="15">
        <v>3.58</v>
      </c>
      <c r="E132" s="15">
        <v>3.6110000000000002</v>
      </c>
      <c r="F132" s="15">
        <v>3.4761609999999998</v>
      </c>
      <c r="G132" s="16">
        <v>16528254</v>
      </c>
    </row>
    <row r="133" spans="1:7" x14ac:dyDescent="0.2">
      <c r="A133" s="1">
        <v>45230</v>
      </c>
      <c r="B133" s="15">
        <v>3.6280000000000001</v>
      </c>
      <c r="C133" s="15">
        <v>3.6749999999999998</v>
      </c>
      <c r="D133" s="15">
        <v>3.5950000000000002</v>
      </c>
      <c r="E133" s="15">
        <v>3.6459999999999999</v>
      </c>
      <c r="F133" s="15">
        <v>3.5098539999999998</v>
      </c>
      <c r="G133" s="16">
        <v>8577559</v>
      </c>
    </row>
    <row r="134" spans="1:7" x14ac:dyDescent="0.2">
      <c r="A134" s="1">
        <v>45231</v>
      </c>
      <c r="B134" s="15">
        <v>3.641</v>
      </c>
      <c r="C134" s="15">
        <v>3.6509999999999998</v>
      </c>
      <c r="D134" s="15">
        <v>3.593</v>
      </c>
      <c r="E134" s="15">
        <v>3.5979999999999999</v>
      </c>
      <c r="F134" s="15">
        <v>3.4636459999999998</v>
      </c>
      <c r="G134" s="16">
        <v>11923568</v>
      </c>
    </row>
    <row r="135" spans="1:7" x14ac:dyDescent="0.2">
      <c r="A135" s="1">
        <v>45232</v>
      </c>
      <c r="B135" s="15">
        <v>3.6070000000000002</v>
      </c>
      <c r="C135" s="15">
        <v>3.6749999999999998</v>
      </c>
      <c r="D135" s="15">
        <v>3.597</v>
      </c>
      <c r="E135" s="15">
        <v>3.6520000000000001</v>
      </c>
      <c r="F135" s="15">
        <v>3.5156299999999998</v>
      </c>
      <c r="G135" s="16">
        <v>9390913</v>
      </c>
    </row>
    <row r="136" spans="1:7" x14ac:dyDescent="0.2">
      <c r="A136" s="1">
        <v>45233</v>
      </c>
      <c r="B136" s="15">
        <v>3.6789999999999998</v>
      </c>
      <c r="C136" s="15">
        <v>3.7559999999999998</v>
      </c>
      <c r="D136" s="15">
        <v>3.6669999999999998</v>
      </c>
      <c r="E136" s="15">
        <v>3.7530000000000001</v>
      </c>
      <c r="F136" s="15">
        <v>3.6128580000000001</v>
      </c>
      <c r="G136" s="16">
        <v>11806247</v>
      </c>
    </row>
    <row r="137" spans="1:7" x14ac:dyDescent="0.2">
      <c r="A137" s="1">
        <v>45236</v>
      </c>
      <c r="B137" s="15">
        <v>3.75</v>
      </c>
      <c r="C137" s="15">
        <v>3.766</v>
      </c>
      <c r="D137" s="15">
        <v>3.7149999999999999</v>
      </c>
      <c r="E137" s="15">
        <v>3.7250000000000001</v>
      </c>
      <c r="F137" s="15">
        <v>3.5859040000000002</v>
      </c>
      <c r="G137" s="16">
        <v>8604130</v>
      </c>
    </row>
    <row r="138" spans="1:7" x14ac:dyDescent="0.2">
      <c r="A138" s="1">
        <v>45237</v>
      </c>
      <c r="B138" s="15">
        <v>3.661</v>
      </c>
      <c r="C138" s="15">
        <v>3.7229999999999999</v>
      </c>
      <c r="D138" s="15">
        <v>3.6139999999999999</v>
      </c>
      <c r="E138" s="15">
        <v>3.7050000000000001</v>
      </c>
      <c r="F138" s="15">
        <v>3.5666500000000001</v>
      </c>
      <c r="G138" s="16">
        <v>16835245</v>
      </c>
    </row>
    <row r="139" spans="1:7" x14ac:dyDescent="0.2">
      <c r="A139" s="1">
        <v>45238</v>
      </c>
      <c r="B139" s="15">
        <v>3.6819999999999999</v>
      </c>
      <c r="C139" s="15">
        <v>3.83</v>
      </c>
      <c r="D139" s="15">
        <v>3.6230000000000002</v>
      </c>
      <c r="E139" s="15">
        <v>3.6880000000000002</v>
      </c>
      <c r="F139" s="15">
        <v>3.5502850000000001</v>
      </c>
      <c r="G139" s="16">
        <v>21858006</v>
      </c>
    </row>
    <row r="140" spans="1:7" x14ac:dyDescent="0.2">
      <c r="A140" s="1">
        <v>45239</v>
      </c>
      <c r="B140" s="15">
        <v>3.7040000000000002</v>
      </c>
      <c r="C140" s="15">
        <v>3.7280000000000002</v>
      </c>
      <c r="D140" s="15">
        <v>3.6549999999999998</v>
      </c>
      <c r="E140" s="15">
        <v>3.6909999999999998</v>
      </c>
      <c r="F140" s="15">
        <v>3.5531730000000001</v>
      </c>
      <c r="G140" s="16">
        <v>10834424</v>
      </c>
    </row>
    <row r="141" spans="1:7" x14ac:dyDescent="0.2">
      <c r="A141" s="1">
        <v>45240</v>
      </c>
      <c r="B141" s="15">
        <v>3.69</v>
      </c>
      <c r="C141" s="15">
        <v>3.7410000000000001</v>
      </c>
      <c r="D141" s="15">
        <v>3.6829999999999998</v>
      </c>
      <c r="E141" s="15">
        <v>3.706</v>
      </c>
      <c r="F141" s="15">
        <v>3.5676130000000001</v>
      </c>
      <c r="G141" s="16">
        <v>7531303</v>
      </c>
    </row>
    <row r="142" spans="1:7" x14ac:dyDescent="0.2">
      <c r="A142" s="1">
        <v>45243</v>
      </c>
      <c r="B142" s="15">
        <v>3.7410000000000001</v>
      </c>
      <c r="C142" s="15">
        <v>3.758</v>
      </c>
      <c r="D142" s="15">
        <v>3.7250000000000001</v>
      </c>
      <c r="E142" s="15">
        <v>3.75</v>
      </c>
      <c r="F142" s="15">
        <v>3.6099700000000001</v>
      </c>
      <c r="G142" s="16">
        <v>9210234</v>
      </c>
    </row>
    <row r="143" spans="1:7" x14ac:dyDescent="0.2">
      <c r="A143" s="1">
        <v>45244</v>
      </c>
      <c r="B143" s="15">
        <v>3.75</v>
      </c>
      <c r="C143" s="15">
        <v>3.7639999999999998</v>
      </c>
      <c r="D143" s="15">
        <v>3.7269999999999999</v>
      </c>
      <c r="E143" s="15">
        <v>3.7370000000000001</v>
      </c>
      <c r="F143" s="15">
        <v>3.5974560000000002</v>
      </c>
      <c r="G143" s="16">
        <v>7887766</v>
      </c>
    </row>
    <row r="144" spans="1:7" x14ac:dyDescent="0.2">
      <c r="A144" s="1">
        <v>45245</v>
      </c>
      <c r="B144" s="15">
        <v>3.74</v>
      </c>
      <c r="C144" s="15">
        <v>3.762</v>
      </c>
      <c r="D144" s="15">
        <v>3.7050000000000001</v>
      </c>
      <c r="E144" s="15">
        <v>3.7109999999999999</v>
      </c>
      <c r="F144" s="15">
        <v>3.5724260000000001</v>
      </c>
      <c r="G144" s="16">
        <v>10222362</v>
      </c>
    </row>
    <row r="145" spans="1:7" x14ac:dyDescent="0.2">
      <c r="A145" s="1">
        <v>45246</v>
      </c>
      <c r="B145" s="15">
        <v>3.718</v>
      </c>
      <c r="C145" s="15">
        <v>3.7429999999999999</v>
      </c>
      <c r="D145" s="15">
        <v>3.7149999999999999</v>
      </c>
      <c r="E145" s="15">
        <v>3.72</v>
      </c>
      <c r="F145" s="15">
        <v>3.5810900000000001</v>
      </c>
      <c r="G145" s="16">
        <v>8472877</v>
      </c>
    </row>
    <row r="146" spans="1:7" x14ac:dyDescent="0.2">
      <c r="A146" s="1">
        <v>45247</v>
      </c>
      <c r="B146" s="15">
        <v>3.7349999999999999</v>
      </c>
      <c r="C146" s="15">
        <v>3.766</v>
      </c>
      <c r="D146" s="15">
        <v>3.726</v>
      </c>
      <c r="E146" s="15">
        <v>3.7530000000000001</v>
      </c>
      <c r="F146" s="15">
        <v>3.6128580000000001</v>
      </c>
      <c r="G146" s="16">
        <v>20537664</v>
      </c>
    </row>
    <row r="147" spans="1:7" x14ac:dyDescent="0.2">
      <c r="A147" s="1">
        <v>45250</v>
      </c>
      <c r="B147" s="15">
        <v>3.7530000000000001</v>
      </c>
      <c r="C147" s="15">
        <v>3.802</v>
      </c>
      <c r="D147" s="15">
        <v>3.7530000000000001</v>
      </c>
      <c r="E147" s="15">
        <v>3.7989999999999999</v>
      </c>
      <c r="F147" s="15">
        <v>3.6571400000000001</v>
      </c>
      <c r="G147" s="16">
        <v>9110071</v>
      </c>
    </row>
    <row r="148" spans="1:7" x14ac:dyDescent="0.2">
      <c r="A148" s="1">
        <v>45251</v>
      </c>
      <c r="B148" s="15">
        <v>3.82</v>
      </c>
      <c r="C148" s="15">
        <v>3.82</v>
      </c>
      <c r="D148" s="15">
        <v>3.7669999999999999</v>
      </c>
      <c r="E148" s="15">
        <v>3.782</v>
      </c>
      <c r="F148" s="15">
        <v>3.6407750000000001</v>
      </c>
      <c r="G148" s="16">
        <v>8522179</v>
      </c>
    </row>
    <row r="149" spans="1:7" x14ac:dyDescent="0.2">
      <c r="A149" s="1">
        <v>45252</v>
      </c>
      <c r="B149" s="15">
        <v>3.7959999999999998</v>
      </c>
      <c r="C149" s="15">
        <v>3.839</v>
      </c>
      <c r="D149" s="15">
        <v>3.7869999999999999</v>
      </c>
      <c r="E149" s="15">
        <v>3.8239999999999998</v>
      </c>
      <c r="F149" s="15">
        <v>3.6812070000000001</v>
      </c>
      <c r="G149" s="16">
        <v>9342740</v>
      </c>
    </row>
    <row r="150" spans="1:7" x14ac:dyDescent="0.2">
      <c r="A150" s="1">
        <v>45253</v>
      </c>
      <c r="B150" s="15">
        <v>3.823</v>
      </c>
      <c r="C150" s="15">
        <v>3.851</v>
      </c>
      <c r="D150" s="15">
        <v>3.81</v>
      </c>
      <c r="E150" s="15">
        <v>3.8380000000000001</v>
      </c>
      <c r="F150" s="15">
        <v>3.6946840000000001</v>
      </c>
      <c r="G150" s="16">
        <v>9360900</v>
      </c>
    </row>
    <row r="151" spans="1:7" x14ac:dyDescent="0.2">
      <c r="A151" s="1">
        <v>45254</v>
      </c>
      <c r="B151" s="15">
        <v>3.84</v>
      </c>
      <c r="C151" s="15">
        <v>3.8420000000000001</v>
      </c>
      <c r="D151" s="15">
        <v>3.8069999999999999</v>
      </c>
      <c r="E151" s="15">
        <v>3.8290000000000002</v>
      </c>
      <c r="F151" s="15">
        <v>3.6860200000000001</v>
      </c>
      <c r="G151" s="16">
        <v>7427236</v>
      </c>
    </row>
    <row r="152" spans="1:7" x14ac:dyDescent="0.2">
      <c r="A152" s="1">
        <v>45257</v>
      </c>
      <c r="B152" s="15">
        <v>3.8340000000000001</v>
      </c>
      <c r="C152" s="15">
        <v>3.859</v>
      </c>
      <c r="D152" s="15">
        <v>3.823</v>
      </c>
      <c r="E152" s="15">
        <v>3.84</v>
      </c>
      <c r="F152" s="15">
        <v>3.696609</v>
      </c>
      <c r="G152" s="16">
        <v>9296511</v>
      </c>
    </row>
    <row r="153" spans="1:7" x14ac:dyDescent="0.2">
      <c r="A153" s="1">
        <v>45258</v>
      </c>
      <c r="B153" s="15">
        <v>3.835</v>
      </c>
      <c r="C153" s="15">
        <v>3.86</v>
      </c>
      <c r="D153" s="15">
        <v>3.8159999999999998</v>
      </c>
      <c r="E153" s="15">
        <v>3.86</v>
      </c>
      <c r="F153" s="15">
        <v>3.7158630000000001</v>
      </c>
      <c r="G153" s="16">
        <v>10487611</v>
      </c>
    </row>
    <row r="154" spans="1:7" x14ac:dyDescent="0.2">
      <c r="A154" s="1">
        <v>45259</v>
      </c>
      <c r="B154" s="15">
        <v>3.8639999999999999</v>
      </c>
      <c r="C154" s="15">
        <v>3.9</v>
      </c>
      <c r="D154" s="15">
        <v>3.847</v>
      </c>
      <c r="E154" s="15">
        <v>3.8879999999999999</v>
      </c>
      <c r="F154" s="15">
        <v>3.7428170000000001</v>
      </c>
      <c r="G154" s="16">
        <v>10394322</v>
      </c>
    </row>
    <row r="155" spans="1:7" x14ac:dyDescent="0.2">
      <c r="A155" s="1">
        <v>45260</v>
      </c>
      <c r="B155" s="15">
        <v>3.895</v>
      </c>
      <c r="C155" s="15">
        <v>3.9540000000000002</v>
      </c>
      <c r="D155" s="15">
        <v>3.887</v>
      </c>
      <c r="E155" s="15">
        <v>3.9540000000000002</v>
      </c>
      <c r="F155" s="15">
        <v>3.8063530000000001</v>
      </c>
      <c r="G155" s="16">
        <v>46712857</v>
      </c>
    </row>
    <row r="156" spans="1:7" x14ac:dyDescent="0.2">
      <c r="A156" s="1">
        <v>45261</v>
      </c>
      <c r="B156" s="15">
        <v>3.96</v>
      </c>
      <c r="C156" s="15">
        <v>4.016</v>
      </c>
      <c r="D156" s="15">
        <v>3.96</v>
      </c>
      <c r="E156" s="15">
        <v>4.0060000000000002</v>
      </c>
      <c r="F156" s="15">
        <v>3.856411</v>
      </c>
      <c r="G156" s="16">
        <v>17956777</v>
      </c>
    </row>
    <row r="157" spans="1:7" x14ac:dyDescent="0.2">
      <c r="A157" s="1">
        <v>45264</v>
      </c>
      <c r="B157" s="15">
        <v>4.0110000000000001</v>
      </c>
      <c r="C157" s="15">
        <v>4.0199999999999996</v>
      </c>
      <c r="D157" s="15">
        <v>3.9910000000000001</v>
      </c>
      <c r="E157" s="15">
        <v>4.016</v>
      </c>
      <c r="F157" s="15">
        <v>3.8660369999999999</v>
      </c>
      <c r="G157" s="16">
        <v>19221014</v>
      </c>
    </row>
    <row r="158" spans="1:7" x14ac:dyDescent="0.2">
      <c r="A158" s="1">
        <v>45265</v>
      </c>
      <c r="B158" s="15">
        <v>4.016</v>
      </c>
      <c r="C158" s="15">
        <v>4.0469999999999997</v>
      </c>
      <c r="D158" s="15">
        <v>4.0039999999999996</v>
      </c>
      <c r="E158" s="15">
        <v>4.0330000000000004</v>
      </c>
      <c r="F158" s="15">
        <v>3.882403</v>
      </c>
      <c r="G158" s="16">
        <v>78063249</v>
      </c>
    </row>
    <row r="159" spans="1:7" x14ac:dyDescent="0.2">
      <c r="A159" s="1">
        <v>45266</v>
      </c>
      <c r="B159" s="15">
        <v>4.05</v>
      </c>
      <c r="C159" s="15">
        <v>4.0750000000000002</v>
      </c>
      <c r="D159" s="15">
        <v>4.0330000000000004</v>
      </c>
      <c r="E159" s="15">
        <v>4.0460000000000003</v>
      </c>
      <c r="F159" s="15">
        <v>3.894917</v>
      </c>
      <c r="G159" s="16">
        <v>30983456</v>
      </c>
    </row>
    <row r="160" spans="1:7" x14ac:dyDescent="0.2">
      <c r="A160" s="1">
        <v>45267</v>
      </c>
      <c r="B160" s="15">
        <v>4.0460000000000003</v>
      </c>
      <c r="C160" s="15">
        <v>4.0609999999999999</v>
      </c>
      <c r="D160" s="15">
        <v>4.0049999999999999</v>
      </c>
      <c r="E160" s="15">
        <v>4.0220000000000002</v>
      </c>
      <c r="F160" s="15">
        <v>3.8718129999999999</v>
      </c>
      <c r="G160" s="16">
        <v>57048390</v>
      </c>
    </row>
    <row r="161" spans="1:7" x14ac:dyDescent="0.2">
      <c r="A161" s="1">
        <v>45268</v>
      </c>
      <c r="B161" s="15">
        <v>4.0199999999999996</v>
      </c>
      <c r="C161" s="15">
        <v>4.0270000000000001</v>
      </c>
      <c r="D161" s="15">
        <v>4.0010000000000003</v>
      </c>
      <c r="E161" s="15">
        <v>4.0030000000000001</v>
      </c>
      <c r="F161" s="15">
        <v>3.853523</v>
      </c>
      <c r="G161" s="16">
        <v>10904185</v>
      </c>
    </row>
    <row r="162" spans="1:7" x14ac:dyDescent="0.2">
      <c r="A162" s="1">
        <v>45271</v>
      </c>
      <c r="B162" s="15">
        <v>4.0250000000000004</v>
      </c>
      <c r="C162" s="15">
        <v>4.04</v>
      </c>
      <c r="D162" s="15">
        <v>3.9980000000000002</v>
      </c>
      <c r="E162" s="15">
        <v>4.0170000000000003</v>
      </c>
      <c r="F162" s="15">
        <v>3.867</v>
      </c>
      <c r="G162" s="16">
        <v>35702191</v>
      </c>
    </row>
    <row r="163" spans="1:7" x14ac:dyDescent="0.2">
      <c r="A163" s="1">
        <v>45272</v>
      </c>
      <c r="B163" s="15">
        <v>3.867</v>
      </c>
      <c r="C163" s="15">
        <v>3.87</v>
      </c>
      <c r="D163" s="15">
        <v>3.7839999999999998</v>
      </c>
      <c r="E163" s="15">
        <v>3.8</v>
      </c>
      <c r="F163" s="15">
        <v>3.8</v>
      </c>
      <c r="G163" s="16">
        <v>35050767</v>
      </c>
    </row>
    <row r="164" spans="1:7" x14ac:dyDescent="0.2">
      <c r="A164" s="1">
        <v>45273</v>
      </c>
      <c r="B164" s="15">
        <v>3.7890000000000001</v>
      </c>
      <c r="C164" s="15">
        <v>3.7890000000000001</v>
      </c>
      <c r="D164" s="15">
        <v>3.6520000000000001</v>
      </c>
      <c r="E164" s="15">
        <v>3.6709999999999998</v>
      </c>
      <c r="F164" s="15">
        <v>3.6709999999999998</v>
      </c>
      <c r="G164" s="16">
        <v>24620215</v>
      </c>
    </row>
    <row r="165" spans="1:7" x14ac:dyDescent="0.2">
      <c r="A165" s="1">
        <v>45274</v>
      </c>
      <c r="B165" s="15">
        <v>3.6960000000000002</v>
      </c>
      <c r="C165" s="15">
        <v>3.7440000000000002</v>
      </c>
      <c r="D165" s="15">
        <v>3.68</v>
      </c>
      <c r="E165" s="15">
        <v>3.6819999999999999</v>
      </c>
      <c r="F165" s="15">
        <v>3.6819999999999999</v>
      </c>
      <c r="G165" s="16">
        <v>56461447</v>
      </c>
    </row>
    <row r="166" spans="1:7" x14ac:dyDescent="0.2">
      <c r="A166" s="1">
        <v>45275</v>
      </c>
      <c r="B166" s="15">
        <v>3.6819999999999999</v>
      </c>
      <c r="C166" s="15">
        <v>3.69</v>
      </c>
      <c r="D166" s="15">
        <v>3.6190000000000002</v>
      </c>
      <c r="E166" s="15">
        <v>3.625</v>
      </c>
      <c r="F166" s="15">
        <v>3.625</v>
      </c>
      <c r="G166" s="16">
        <v>75699934</v>
      </c>
    </row>
    <row r="167" spans="1:7" x14ac:dyDescent="0.2">
      <c r="A167" s="1">
        <v>45278</v>
      </c>
      <c r="B167" s="15">
        <v>3.613</v>
      </c>
      <c r="C167" s="15">
        <v>3.6360000000000001</v>
      </c>
      <c r="D167" s="15">
        <v>3.581</v>
      </c>
      <c r="E167" s="15">
        <v>3.5920000000000001</v>
      </c>
      <c r="F167" s="15">
        <v>3.5920000000000001</v>
      </c>
      <c r="G167" s="16">
        <v>28447731</v>
      </c>
    </row>
    <row r="168" spans="1:7" x14ac:dyDescent="0.2">
      <c r="A168" s="1">
        <v>45279</v>
      </c>
      <c r="B168" s="15">
        <v>3.5939999999999999</v>
      </c>
      <c r="C168" s="15">
        <v>3.6059999999999999</v>
      </c>
      <c r="D168" s="15">
        <v>3.556</v>
      </c>
      <c r="E168" s="15">
        <v>3.5649999999999999</v>
      </c>
      <c r="F168" s="15">
        <v>3.5649999999999999</v>
      </c>
      <c r="G168" s="16">
        <v>51880807</v>
      </c>
    </row>
    <row r="169" spans="1:7" x14ac:dyDescent="0.2">
      <c r="A169" s="1">
        <v>45280</v>
      </c>
      <c r="B169" s="15">
        <v>3.82</v>
      </c>
      <c r="C169" s="15">
        <v>3.82</v>
      </c>
      <c r="D169" s="15">
        <v>3.6459999999999999</v>
      </c>
      <c r="E169" s="15">
        <v>3.6789999999999998</v>
      </c>
      <c r="F169" s="15">
        <v>3.6789999999999998</v>
      </c>
      <c r="G169" s="16">
        <v>34212914</v>
      </c>
    </row>
    <row r="170" spans="1:7" x14ac:dyDescent="0.2">
      <c r="A170" s="1">
        <v>45281</v>
      </c>
      <c r="B170" s="15">
        <v>3.6539999999999999</v>
      </c>
      <c r="C170" s="15">
        <v>3.6850000000000001</v>
      </c>
      <c r="D170" s="15">
        <v>3.6150000000000002</v>
      </c>
      <c r="E170" s="15">
        <v>3.6230000000000002</v>
      </c>
      <c r="F170" s="15">
        <v>3.6230000000000002</v>
      </c>
      <c r="G170" s="16">
        <v>10422066</v>
      </c>
    </row>
    <row r="171" spans="1:7" x14ac:dyDescent="0.2">
      <c r="A171" s="1">
        <v>45282</v>
      </c>
      <c r="B171" s="15">
        <v>3.62</v>
      </c>
      <c r="C171" s="15">
        <v>3.65</v>
      </c>
      <c r="D171" s="15">
        <v>3.5710000000000002</v>
      </c>
      <c r="E171" s="15">
        <v>3.5840000000000001</v>
      </c>
      <c r="F171" s="15">
        <v>3.5840000000000001</v>
      </c>
      <c r="G171" s="16">
        <v>12002044</v>
      </c>
    </row>
    <row r="172" spans="1:7" x14ac:dyDescent="0.2">
      <c r="A172" s="1">
        <v>45287</v>
      </c>
      <c r="B172" s="15">
        <v>3.57</v>
      </c>
      <c r="C172" s="15">
        <v>3.59</v>
      </c>
      <c r="D172" s="15">
        <v>3.5550000000000002</v>
      </c>
      <c r="E172" s="15">
        <v>3.5710000000000002</v>
      </c>
      <c r="F172" s="15">
        <v>3.5710000000000002</v>
      </c>
      <c r="G172" s="16">
        <v>18684872</v>
      </c>
    </row>
    <row r="173" spans="1:7" x14ac:dyDescent="0.2">
      <c r="A173" s="1">
        <v>45288</v>
      </c>
      <c r="B173" s="15">
        <v>3.56</v>
      </c>
      <c r="C173" s="15">
        <v>3.57</v>
      </c>
      <c r="D173" s="15">
        <v>3.53</v>
      </c>
      <c r="E173" s="15">
        <v>3.54</v>
      </c>
      <c r="F173" s="15">
        <v>3.54</v>
      </c>
      <c r="G173" s="16">
        <v>11914342</v>
      </c>
    </row>
    <row r="174" spans="1:7" x14ac:dyDescent="0.2">
      <c r="A174" s="1">
        <v>45289</v>
      </c>
      <c r="B174" s="15">
        <v>3.5379999999999998</v>
      </c>
      <c r="C174" s="15">
        <v>3.5459999999999998</v>
      </c>
      <c r="D174" s="15">
        <v>3.5249999999999999</v>
      </c>
      <c r="E174" s="15">
        <v>3.5339999999999998</v>
      </c>
      <c r="F174" s="15">
        <v>3.5339999999999998</v>
      </c>
      <c r="G174" s="16">
        <v>10371336</v>
      </c>
    </row>
    <row r="175" spans="1:7" x14ac:dyDescent="0.2">
      <c r="A175" s="1">
        <v>45293</v>
      </c>
      <c r="B175" s="15">
        <v>3.5529999999999999</v>
      </c>
      <c r="C175" s="15">
        <v>3.633</v>
      </c>
      <c r="D175" s="15">
        <v>3.5409999999999999</v>
      </c>
      <c r="E175" s="15">
        <v>3.6280000000000001</v>
      </c>
      <c r="F175" s="15">
        <v>3.6280000000000001</v>
      </c>
      <c r="G175" s="16">
        <v>9384486</v>
      </c>
    </row>
    <row r="176" spans="1:7" x14ac:dyDescent="0.2">
      <c r="A176" s="1">
        <v>45294</v>
      </c>
      <c r="B176" s="15">
        <v>3.6320000000000001</v>
      </c>
      <c r="C176" s="15">
        <v>3.69</v>
      </c>
      <c r="D176" s="15">
        <v>3.6320000000000001</v>
      </c>
      <c r="E176" s="15">
        <v>3.641</v>
      </c>
      <c r="F176" s="15">
        <v>3.641</v>
      </c>
      <c r="G176" s="16">
        <v>9249503</v>
      </c>
    </row>
    <row r="177" spans="1:7" x14ac:dyDescent="0.2">
      <c r="A177" s="1">
        <v>45295</v>
      </c>
      <c r="B177" s="15">
        <v>3.65</v>
      </c>
      <c r="C177" s="15">
        <v>3.7010000000000001</v>
      </c>
      <c r="D177" s="15">
        <v>3.65</v>
      </c>
      <c r="E177" s="15">
        <v>3.698</v>
      </c>
      <c r="F177" s="15">
        <v>3.698</v>
      </c>
      <c r="G177" s="16">
        <v>20064639</v>
      </c>
    </row>
    <row r="178" spans="1:7" x14ac:dyDescent="0.2">
      <c r="A178" s="1">
        <v>45296</v>
      </c>
      <c r="B178" s="15">
        <v>3.6890000000000001</v>
      </c>
      <c r="C178" s="15">
        <v>3.7029999999999998</v>
      </c>
      <c r="D178" s="15">
        <v>3.6619999999999999</v>
      </c>
      <c r="E178" s="15">
        <v>3.694</v>
      </c>
      <c r="F178" s="15">
        <v>3.694</v>
      </c>
      <c r="G178" s="16">
        <v>7652701</v>
      </c>
    </row>
    <row r="179" spans="1:7" x14ac:dyDescent="0.2">
      <c r="A179" s="1">
        <v>45299</v>
      </c>
      <c r="B179" s="15">
        <v>3.7</v>
      </c>
      <c r="C179" s="15">
        <v>3.7320000000000002</v>
      </c>
      <c r="D179" s="15">
        <v>3.6779999999999999</v>
      </c>
      <c r="E179" s="15">
        <v>3.7320000000000002</v>
      </c>
      <c r="F179" s="15">
        <v>3.7320000000000002</v>
      </c>
      <c r="G179" s="16">
        <v>6599839</v>
      </c>
    </row>
    <row r="180" spans="1:7" x14ac:dyDescent="0.2">
      <c r="A180" s="1">
        <v>45300</v>
      </c>
      <c r="B180" s="15">
        <v>3.726</v>
      </c>
      <c r="C180" s="15">
        <v>3.7549999999999999</v>
      </c>
      <c r="D180" s="15">
        <v>3.7040000000000002</v>
      </c>
      <c r="E180" s="15">
        <v>3.73</v>
      </c>
      <c r="F180" s="15">
        <v>3.73</v>
      </c>
      <c r="G180" s="16">
        <v>6657904</v>
      </c>
    </row>
    <row r="181" spans="1:7" x14ac:dyDescent="0.2">
      <c r="A181" s="1">
        <v>45301</v>
      </c>
      <c r="B181" s="15">
        <v>3.714</v>
      </c>
      <c r="C181" s="15">
        <v>3.7389999999999999</v>
      </c>
      <c r="D181" s="15">
        <v>3.6989999999999998</v>
      </c>
      <c r="E181" s="15">
        <v>3.71</v>
      </c>
      <c r="F181" s="15">
        <v>3.71</v>
      </c>
      <c r="G181" s="16">
        <v>24333496</v>
      </c>
    </row>
    <row r="182" spans="1:7" x14ac:dyDescent="0.2">
      <c r="A182" s="1">
        <v>45302</v>
      </c>
      <c r="B182" s="15">
        <v>3.7280000000000002</v>
      </c>
      <c r="C182" s="15">
        <v>3.7330000000000001</v>
      </c>
      <c r="D182" s="15">
        <v>3.6989999999999998</v>
      </c>
      <c r="E182" s="15">
        <v>3.7240000000000002</v>
      </c>
      <c r="F182" s="15">
        <v>3.7240000000000002</v>
      </c>
      <c r="G182" s="16">
        <v>7475625</v>
      </c>
    </row>
    <row r="183" spans="1:7" x14ac:dyDescent="0.2">
      <c r="A183" s="1">
        <v>45303</v>
      </c>
      <c r="B183" s="15">
        <v>3.6930000000000001</v>
      </c>
      <c r="C183" s="15">
        <v>3.7370000000000001</v>
      </c>
      <c r="D183" s="15">
        <v>3.6920000000000002</v>
      </c>
      <c r="E183" s="15">
        <v>3.7189999999999999</v>
      </c>
      <c r="F183" s="15">
        <v>3.7189999999999999</v>
      </c>
      <c r="G183" s="16">
        <v>6281962</v>
      </c>
    </row>
    <row r="184" spans="1:7" x14ac:dyDescent="0.2">
      <c r="A184" s="1">
        <v>45306</v>
      </c>
      <c r="B184" s="15">
        <v>3.7549999999999999</v>
      </c>
      <c r="C184" s="15">
        <v>3.7810000000000001</v>
      </c>
      <c r="D184" s="15">
        <v>3.75</v>
      </c>
      <c r="E184" s="15">
        <v>3.7719999999999998</v>
      </c>
      <c r="F184" s="15">
        <v>3.7719999999999998</v>
      </c>
      <c r="G184" s="16">
        <v>6699402</v>
      </c>
    </row>
    <row r="185" spans="1:7" x14ac:dyDescent="0.2">
      <c r="A185" s="1">
        <v>45307</v>
      </c>
      <c r="B185" s="15">
        <v>3.758</v>
      </c>
      <c r="C185" s="15">
        <v>3.802</v>
      </c>
      <c r="D185" s="15">
        <v>3.742</v>
      </c>
      <c r="E185" s="15">
        <v>3.7749999999999999</v>
      </c>
      <c r="F185" s="15">
        <v>3.7749999999999999</v>
      </c>
      <c r="G185" s="16">
        <v>8328968</v>
      </c>
    </row>
    <row r="186" spans="1:7" x14ac:dyDescent="0.2">
      <c r="A186" s="1">
        <v>45308</v>
      </c>
      <c r="B186" s="15">
        <v>3.7639999999999998</v>
      </c>
      <c r="C186" s="15">
        <v>3.7789999999999999</v>
      </c>
      <c r="D186" s="15">
        <v>3.7269999999999999</v>
      </c>
      <c r="E186" s="15">
        <v>3.7709999999999999</v>
      </c>
      <c r="F186" s="15">
        <v>3.7709999999999999</v>
      </c>
      <c r="G186" s="16">
        <v>8983682</v>
      </c>
    </row>
    <row r="187" spans="1:7" x14ac:dyDescent="0.2">
      <c r="A187" s="1">
        <v>45309</v>
      </c>
      <c r="B187" s="15">
        <v>3.76</v>
      </c>
      <c r="C187" s="15">
        <v>3.76</v>
      </c>
      <c r="D187" s="15">
        <v>3.7189999999999999</v>
      </c>
      <c r="E187" s="15">
        <v>3.7330000000000001</v>
      </c>
      <c r="F187" s="15">
        <v>3.7330000000000001</v>
      </c>
      <c r="G187" s="16">
        <v>6450410</v>
      </c>
    </row>
    <row r="188" spans="1:7" x14ac:dyDescent="0.2">
      <c r="A188" s="1">
        <v>45310</v>
      </c>
      <c r="B188" s="15">
        <v>3.75</v>
      </c>
      <c r="C188" s="15">
        <v>3.7959999999999998</v>
      </c>
      <c r="D188" s="15">
        <v>3.75</v>
      </c>
      <c r="E188" s="15">
        <v>3.78</v>
      </c>
      <c r="F188" s="15">
        <v>3.78</v>
      </c>
      <c r="G188" s="16">
        <v>33002429</v>
      </c>
    </row>
    <row r="189" spans="1:7" x14ac:dyDescent="0.2">
      <c r="A189" s="1">
        <v>45313</v>
      </c>
      <c r="B189" s="15">
        <v>3.7930000000000001</v>
      </c>
      <c r="C189" s="15">
        <v>3.823</v>
      </c>
      <c r="D189" s="15">
        <v>3.7839999999999998</v>
      </c>
      <c r="E189" s="15">
        <v>3.8130000000000002</v>
      </c>
      <c r="F189" s="15">
        <v>3.8130000000000002</v>
      </c>
      <c r="G189" s="16">
        <v>6941318</v>
      </c>
    </row>
    <row r="190" spans="1:7" x14ac:dyDescent="0.2">
      <c r="A190" s="1">
        <v>45314</v>
      </c>
      <c r="B190" s="15">
        <v>3.8170000000000002</v>
      </c>
      <c r="C190" s="15">
        <v>3.8439999999999999</v>
      </c>
      <c r="D190" s="15">
        <v>3.802</v>
      </c>
      <c r="E190" s="15">
        <v>3.82</v>
      </c>
      <c r="F190" s="15">
        <v>3.82</v>
      </c>
      <c r="G190" s="16">
        <v>27019935</v>
      </c>
    </row>
    <row r="191" spans="1:7" x14ac:dyDescent="0.2">
      <c r="A191" s="1">
        <v>45315</v>
      </c>
      <c r="B191" s="15">
        <v>3.8359999999999999</v>
      </c>
      <c r="C191" s="15">
        <v>3.859</v>
      </c>
      <c r="D191" s="15">
        <v>3.8119999999999998</v>
      </c>
      <c r="E191" s="15">
        <v>3.8130000000000002</v>
      </c>
      <c r="F191" s="15">
        <v>3.8130000000000002</v>
      </c>
      <c r="G191" s="16">
        <v>8818619</v>
      </c>
    </row>
    <row r="192" spans="1:7" x14ac:dyDescent="0.2">
      <c r="A192" s="1">
        <v>45316</v>
      </c>
      <c r="B192" s="15">
        <v>3.81</v>
      </c>
      <c r="C192" s="15">
        <v>3.8119999999999998</v>
      </c>
      <c r="D192" s="15">
        <v>3.7810000000000001</v>
      </c>
      <c r="E192" s="15">
        <v>3.7949999999999999</v>
      </c>
      <c r="F192" s="15">
        <v>3.7949999999999999</v>
      </c>
      <c r="G192" s="16">
        <v>4348113</v>
      </c>
    </row>
    <row r="193" spans="1:7" x14ac:dyDescent="0.2">
      <c r="A193" s="1">
        <v>45317</v>
      </c>
      <c r="B193" s="15">
        <v>3.7890000000000001</v>
      </c>
      <c r="C193" s="15">
        <v>3.8380000000000001</v>
      </c>
      <c r="D193" s="15">
        <v>3.7719999999999998</v>
      </c>
      <c r="E193" s="15">
        <v>3.823</v>
      </c>
      <c r="F193" s="15">
        <v>3.823</v>
      </c>
      <c r="G193" s="16">
        <v>26175427</v>
      </c>
    </row>
    <row r="194" spans="1:7" x14ac:dyDescent="0.2">
      <c r="A194" s="1">
        <v>45320</v>
      </c>
      <c r="B194" s="15">
        <v>3.8250000000000002</v>
      </c>
      <c r="C194" s="15">
        <v>3.835</v>
      </c>
      <c r="D194" s="15">
        <v>3.794</v>
      </c>
      <c r="E194" s="15">
        <v>3.8159999999999998</v>
      </c>
      <c r="F194" s="15">
        <v>3.8159999999999998</v>
      </c>
      <c r="G194" s="16">
        <v>7671526</v>
      </c>
    </row>
    <row r="195" spans="1:7" x14ac:dyDescent="0.2">
      <c r="A195" s="1">
        <v>45321</v>
      </c>
      <c r="B195" s="15">
        <v>3.8109999999999999</v>
      </c>
      <c r="C195" s="15">
        <v>3.8279999999999998</v>
      </c>
      <c r="D195" s="15">
        <v>3.7629999999999999</v>
      </c>
      <c r="E195" s="15">
        <v>3.7690000000000001</v>
      </c>
      <c r="F195" s="15">
        <v>3.7690000000000001</v>
      </c>
      <c r="G195" s="16">
        <v>5408894</v>
      </c>
    </row>
    <row r="196" spans="1:7" x14ac:dyDescent="0.2">
      <c r="A196" s="1">
        <v>45322</v>
      </c>
      <c r="B196" s="15">
        <v>3.778</v>
      </c>
      <c r="C196" s="15">
        <v>3.7970000000000002</v>
      </c>
      <c r="D196" s="15">
        <v>3.746</v>
      </c>
      <c r="E196" s="15">
        <v>3.77</v>
      </c>
      <c r="F196" s="15">
        <v>3.77</v>
      </c>
      <c r="G196" s="16">
        <v>7593648</v>
      </c>
    </row>
    <row r="197" spans="1:7" x14ac:dyDescent="0.2">
      <c r="A197" s="1">
        <v>45323</v>
      </c>
      <c r="B197" s="15">
        <v>3.758</v>
      </c>
      <c r="C197" s="15">
        <v>3.7839999999999998</v>
      </c>
      <c r="D197" s="15">
        <v>3.7250000000000001</v>
      </c>
      <c r="E197" s="15">
        <v>3.73</v>
      </c>
      <c r="F197" s="15">
        <v>3.73</v>
      </c>
      <c r="G197" s="16">
        <v>8893776</v>
      </c>
    </row>
    <row r="198" spans="1:7" x14ac:dyDescent="0.2">
      <c r="A198" s="1">
        <v>45324</v>
      </c>
      <c r="B198" s="15">
        <v>3.7360000000000002</v>
      </c>
      <c r="C198" s="15">
        <v>3.7549999999999999</v>
      </c>
      <c r="D198" s="15">
        <v>3.6989999999999998</v>
      </c>
      <c r="E198" s="15">
        <v>3.6989999999999998</v>
      </c>
      <c r="F198" s="15">
        <v>3.6989999999999998</v>
      </c>
      <c r="G198" s="16">
        <v>7447058</v>
      </c>
    </row>
    <row r="199" spans="1:7" x14ac:dyDescent="0.2">
      <c r="A199" s="1">
        <v>45327</v>
      </c>
      <c r="B199" s="15">
        <v>3.6970000000000001</v>
      </c>
      <c r="C199" s="15">
        <v>3.73</v>
      </c>
      <c r="D199" s="15">
        <v>3.6560000000000001</v>
      </c>
      <c r="E199" s="15">
        <v>3.6589999999999998</v>
      </c>
      <c r="F199" s="15">
        <v>3.6589999999999998</v>
      </c>
      <c r="G199" s="16">
        <v>6480114</v>
      </c>
    </row>
    <row r="200" spans="1:7" x14ac:dyDescent="0.2">
      <c r="A200" s="1">
        <v>45328</v>
      </c>
      <c r="B200" s="15">
        <v>3.66</v>
      </c>
      <c r="C200" s="15">
        <v>3.669</v>
      </c>
      <c r="D200" s="15">
        <v>3.6160000000000001</v>
      </c>
      <c r="E200" s="15">
        <v>3.645</v>
      </c>
      <c r="F200" s="15">
        <v>3.645</v>
      </c>
      <c r="G200" s="16">
        <v>9661830</v>
      </c>
    </row>
    <row r="201" spans="1:7" x14ac:dyDescent="0.2">
      <c r="A201" s="1">
        <v>45329</v>
      </c>
      <c r="B201" s="15">
        <v>3.6419999999999999</v>
      </c>
      <c r="C201" s="15">
        <v>3.6469999999999998</v>
      </c>
      <c r="D201" s="15">
        <v>3.5870000000000002</v>
      </c>
      <c r="E201" s="15">
        <v>3.59</v>
      </c>
      <c r="F201" s="15">
        <v>3.59</v>
      </c>
      <c r="G201" s="16">
        <v>8749760</v>
      </c>
    </row>
    <row r="202" spans="1:7" x14ac:dyDescent="0.2">
      <c r="A202" s="1">
        <v>45330</v>
      </c>
      <c r="B202" s="15">
        <v>3.5859999999999999</v>
      </c>
      <c r="C202" s="15">
        <v>3.5939999999999999</v>
      </c>
      <c r="D202" s="15">
        <v>3.5510000000000002</v>
      </c>
      <c r="E202" s="15">
        <v>3.5819999999999999</v>
      </c>
      <c r="F202" s="15">
        <v>3.5819999999999999</v>
      </c>
      <c r="G202" s="16">
        <v>10111833</v>
      </c>
    </row>
    <row r="203" spans="1:7" x14ac:dyDescent="0.2">
      <c r="A203" s="1">
        <v>45331</v>
      </c>
      <c r="B203" s="15">
        <v>3.5779999999999998</v>
      </c>
      <c r="C203" s="15">
        <v>3.5979999999999999</v>
      </c>
      <c r="D203" s="15">
        <v>3.5409999999999999</v>
      </c>
      <c r="E203" s="15">
        <v>3.5529999999999999</v>
      </c>
      <c r="F203" s="15">
        <v>3.5529999999999999</v>
      </c>
      <c r="G203" s="16">
        <v>10789433</v>
      </c>
    </row>
    <row r="204" spans="1:7" x14ac:dyDescent="0.2">
      <c r="A204" s="1">
        <v>45334</v>
      </c>
      <c r="B204" s="15">
        <v>3.5710000000000002</v>
      </c>
      <c r="C204" s="15">
        <v>3.5880000000000001</v>
      </c>
      <c r="D204" s="15">
        <v>3.5609999999999999</v>
      </c>
      <c r="E204" s="15">
        <v>3.5859999999999999</v>
      </c>
      <c r="F204" s="15">
        <v>3.5859999999999999</v>
      </c>
      <c r="G204" s="16">
        <v>5667698</v>
      </c>
    </row>
    <row r="205" spans="1:7" x14ac:dyDescent="0.2">
      <c r="A205" s="1">
        <v>45335</v>
      </c>
      <c r="B205" s="15">
        <v>3.5880000000000001</v>
      </c>
      <c r="C205" s="15">
        <v>3.6379999999999999</v>
      </c>
      <c r="D205" s="15">
        <v>3.58</v>
      </c>
      <c r="E205" s="15">
        <v>3.58</v>
      </c>
      <c r="F205" s="15">
        <v>3.58</v>
      </c>
      <c r="G205" s="16">
        <v>7562382</v>
      </c>
    </row>
    <row r="206" spans="1:7" x14ac:dyDescent="0.2">
      <c r="A206" s="1">
        <v>45336</v>
      </c>
      <c r="B206" s="15">
        <v>3.58</v>
      </c>
      <c r="C206" s="15">
        <v>3.61</v>
      </c>
      <c r="D206" s="15">
        <v>3.5630000000000002</v>
      </c>
      <c r="E206" s="15">
        <v>3.5750000000000002</v>
      </c>
      <c r="F206" s="15">
        <v>3.5750000000000002</v>
      </c>
      <c r="G206" s="16">
        <v>7564262</v>
      </c>
    </row>
    <row r="207" spans="1:7" x14ac:dyDescent="0.2">
      <c r="A207" s="1">
        <v>45337</v>
      </c>
      <c r="B207" s="15">
        <v>3.57</v>
      </c>
      <c r="C207" s="15">
        <v>3.63</v>
      </c>
      <c r="D207" s="15">
        <v>3.57</v>
      </c>
      <c r="E207" s="15">
        <v>3.6179999999999999</v>
      </c>
      <c r="F207" s="15">
        <v>3.6179999999999999</v>
      </c>
      <c r="G207" s="16">
        <v>12512765</v>
      </c>
    </row>
    <row r="208" spans="1:7" x14ac:dyDescent="0.2">
      <c r="A208" s="1">
        <v>45338</v>
      </c>
      <c r="B208" s="15">
        <v>3.62</v>
      </c>
      <c r="C208" s="15">
        <v>3.62</v>
      </c>
      <c r="D208" s="15">
        <v>3.5419999999999998</v>
      </c>
      <c r="E208" s="15">
        <v>3.5609999999999999</v>
      </c>
      <c r="F208" s="15">
        <v>3.5609999999999999</v>
      </c>
      <c r="G208" s="16">
        <v>13581505</v>
      </c>
    </row>
    <row r="209" spans="1:7" x14ac:dyDescent="0.2">
      <c r="A209" s="1">
        <v>45341</v>
      </c>
      <c r="B209" s="15">
        <v>3.57</v>
      </c>
      <c r="C209" s="15">
        <v>3.6360000000000001</v>
      </c>
      <c r="D209" s="15">
        <v>3.569</v>
      </c>
      <c r="E209" s="15">
        <v>3.6259999999999999</v>
      </c>
      <c r="F209" s="15">
        <v>3.6259999999999999</v>
      </c>
      <c r="G209" s="16">
        <v>9583103</v>
      </c>
    </row>
    <row r="210" spans="1:7" x14ac:dyDescent="0.2">
      <c r="A210" s="1">
        <v>45342</v>
      </c>
      <c r="B210" s="15">
        <v>3.6269999999999998</v>
      </c>
      <c r="C210" s="15">
        <v>3.6779999999999999</v>
      </c>
      <c r="D210" s="15">
        <v>3.6269999999999998</v>
      </c>
      <c r="E210" s="15">
        <v>3.6669999999999998</v>
      </c>
      <c r="F210" s="15">
        <v>3.6669999999999998</v>
      </c>
      <c r="G210" s="16">
        <v>7579649</v>
      </c>
    </row>
    <row r="211" spans="1:7" x14ac:dyDescent="0.2">
      <c r="A211" s="1">
        <v>45343</v>
      </c>
      <c r="B211" s="15">
        <v>3.6659999999999999</v>
      </c>
      <c r="C211" s="15">
        <v>3.7</v>
      </c>
      <c r="D211" s="15">
        <v>3.6560000000000001</v>
      </c>
      <c r="E211" s="15">
        <v>3.6840000000000002</v>
      </c>
      <c r="F211" s="15">
        <v>3.6840000000000002</v>
      </c>
      <c r="G211" s="16">
        <v>7847997</v>
      </c>
    </row>
    <row r="212" spans="1:7" x14ac:dyDescent="0.2">
      <c r="A212" s="1">
        <v>45344</v>
      </c>
      <c r="B212" s="15">
        <v>3.7229999999999999</v>
      </c>
      <c r="C212" s="15">
        <v>3.7919999999999998</v>
      </c>
      <c r="D212" s="15">
        <v>3.6789999999999998</v>
      </c>
      <c r="E212" s="15">
        <v>3.7429999999999999</v>
      </c>
      <c r="F212" s="15">
        <v>3.7429999999999999</v>
      </c>
      <c r="G212" s="16">
        <v>37381076</v>
      </c>
    </row>
    <row r="213" spans="1:7" x14ac:dyDescent="0.2">
      <c r="A213" s="1">
        <v>45345</v>
      </c>
      <c r="B213" s="15">
        <v>3.7440000000000002</v>
      </c>
      <c r="C213" s="15">
        <v>3.7759999999999998</v>
      </c>
      <c r="D213" s="15">
        <v>3.71</v>
      </c>
      <c r="E213" s="15">
        <v>3.7759999999999998</v>
      </c>
      <c r="F213" s="15">
        <v>3.7759999999999998</v>
      </c>
      <c r="G213" s="16">
        <v>8532461</v>
      </c>
    </row>
    <row r="214" spans="1:7" x14ac:dyDescent="0.2">
      <c r="A214" s="1">
        <v>45348</v>
      </c>
      <c r="B214" s="15">
        <v>3.7549999999999999</v>
      </c>
      <c r="C214" s="15">
        <v>3.794</v>
      </c>
      <c r="D214" s="15">
        <v>3.7480000000000002</v>
      </c>
      <c r="E214" s="15">
        <v>3.7759999999999998</v>
      </c>
      <c r="F214" s="15">
        <v>3.7759999999999998</v>
      </c>
      <c r="G214" s="16">
        <v>6699236</v>
      </c>
    </row>
    <row r="215" spans="1:7" x14ac:dyDescent="0.2">
      <c r="A215" s="1">
        <v>45349</v>
      </c>
      <c r="B215" s="15">
        <v>3.7509999999999999</v>
      </c>
      <c r="C215" s="15">
        <v>3.8149999999999999</v>
      </c>
      <c r="D215" s="15">
        <v>3.7509999999999999</v>
      </c>
      <c r="E215" s="15">
        <v>3.81</v>
      </c>
      <c r="F215" s="15">
        <v>3.81</v>
      </c>
      <c r="G215" s="16">
        <v>8175189</v>
      </c>
    </row>
    <row r="216" spans="1:7" x14ac:dyDescent="0.2">
      <c r="A216" s="1">
        <v>45350</v>
      </c>
      <c r="B216" s="15">
        <v>3.82</v>
      </c>
      <c r="C216" s="15">
        <v>3.8740000000000001</v>
      </c>
      <c r="D216" s="15">
        <v>3.8140000000000001</v>
      </c>
      <c r="E216" s="15">
        <v>3.8279999999999998</v>
      </c>
      <c r="F216" s="15">
        <v>3.8279999999999998</v>
      </c>
      <c r="G216" s="16">
        <v>12065463</v>
      </c>
    </row>
    <row r="217" spans="1:7" x14ac:dyDescent="0.2">
      <c r="A217" s="1">
        <v>45351</v>
      </c>
      <c r="B217" s="15">
        <v>3.831</v>
      </c>
      <c r="C217" s="15">
        <v>3.8420000000000001</v>
      </c>
      <c r="D217" s="15">
        <v>3.79</v>
      </c>
      <c r="E217" s="15">
        <v>3.7930000000000001</v>
      </c>
      <c r="F217" s="15">
        <v>3.7930000000000001</v>
      </c>
      <c r="G217" s="16">
        <v>16751108</v>
      </c>
    </row>
    <row r="218" spans="1:7" x14ac:dyDescent="0.2">
      <c r="A218" s="1">
        <v>45352</v>
      </c>
      <c r="B218" s="15">
        <v>3.7749999999999999</v>
      </c>
      <c r="C218" s="15">
        <v>3.843</v>
      </c>
      <c r="D218" s="15">
        <v>3.7669999999999999</v>
      </c>
      <c r="E218" s="15">
        <v>3.8220000000000001</v>
      </c>
      <c r="F218" s="15">
        <v>3.8220000000000001</v>
      </c>
      <c r="G218" s="16">
        <v>33172223</v>
      </c>
    </row>
    <row r="219" spans="1:7" x14ac:dyDescent="0.2">
      <c r="A219" s="1">
        <v>45355</v>
      </c>
      <c r="B219" s="15">
        <v>3.8159999999999998</v>
      </c>
      <c r="C219" s="15">
        <v>3.839</v>
      </c>
      <c r="D219" s="15">
        <v>3.8109999999999999</v>
      </c>
      <c r="E219" s="15">
        <v>3.83</v>
      </c>
      <c r="F219" s="15">
        <v>3.83</v>
      </c>
      <c r="G219" s="16">
        <v>42670115</v>
      </c>
    </row>
    <row r="220" spans="1:7" x14ac:dyDescent="0.2">
      <c r="A220" s="1">
        <v>45356</v>
      </c>
      <c r="B220" s="15">
        <v>3.8159999999999998</v>
      </c>
      <c r="C220" s="15">
        <v>3.8380000000000001</v>
      </c>
      <c r="D220" s="15">
        <v>3.8029999999999999</v>
      </c>
      <c r="E220" s="15">
        <v>3.8340000000000001</v>
      </c>
      <c r="F220" s="15">
        <v>3.8340000000000001</v>
      </c>
      <c r="G220" s="16">
        <v>6953655</v>
      </c>
    </row>
    <row r="221" spans="1:7" x14ac:dyDescent="0.2">
      <c r="A221" s="1">
        <v>45357</v>
      </c>
      <c r="B221" s="15">
        <v>3.84</v>
      </c>
      <c r="C221" s="15">
        <v>3.8889999999999998</v>
      </c>
      <c r="D221" s="15">
        <v>3.835</v>
      </c>
      <c r="E221" s="15">
        <v>3.8410000000000002</v>
      </c>
      <c r="F221" s="15">
        <v>3.8410000000000002</v>
      </c>
      <c r="G221" s="16">
        <v>14773403</v>
      </c>
    </row>
    <row r="222" spans="1:7" x14ac:dyDescent="0.2">
      <c r="A222" s="1">
        <v>45358</v>
      </c>
      <c r="B222" s="15">
        <v>3.831</v>
      </c>
      <c r="C222" s="15">
        <v>3.8809999999999998</v>
      </c>
      <c r="D222" s="15">
        <v>3.83</v>
      </c>
      <c r="E222" s="15">
        <v>3.8380000000000001</v>
      </c>
      <c r="F222" s="15">
        <v>3.8380000000000001</v>
      </c>
      <c r="G222" s="16">
        <v>9450242</v>
      </c>
    </row>
    <row r="223" spans="1:7" x14ac:dyDescent="0.2">
      <c r="A223" s="1">
        <v>45359</v>
      </c>
      <c r="B223" s="15">
        <v>3.835</v>
      </c>
      <c r="C223" s="15">
        <v>3.8559999999999999</v>
      </c>
      <c r="D223" s="15">
        <v>3.8239999999999998</v>
      </c>
      <c r="E223" s="15">
        <v>3.8460000000000001</v>
      </c>
      <c r="F223" s="15">
        <v>3.8460000000000001</v>
      </c>
      <c r="G223" s="16">
        <v>7976056</v>
      </c>
    </row>
    <row r="224" spans="1:7" x14ac:dyDescent="0.2">
      <c r="A224" s="1">
        <v>45362</v>
      </c>
      <c r="B224" s="15">
        <v>3.8479999999999999</v>
      </c>
      <c r="C224" s="15">
        <v>3.891</v>
      </c>
      <c r="D224" s="15">
        <v>3.8460000000000001</v>
      </c>
      <c r="E224" s="15">
        <v>3.8769999999999998</v>
      </c>
      <c r="F224" s="15">
        <v>3.8769999999999998</v>
      </c>
      <c r="G224" s="16">
        <v>9964781</v>
      </c>
    </row>
    <row r="225" spans="1:7" x14ac:dyDescent="0.2">
      <c r="A225" s="1">
        <v>45363</v>
      </c>
      <c r="B225" s="15">
        <v>3.8839999999999999</v>
      </c>
      <c r="C225" s="15">
        <v>3.9039999999999999</v>
      </c>
      <c r="D225" s="15">
        <v>3.871</v>
      </c>
      <c r="E225" s="15">
        <v>3.871</v>
      </c>
      <c r="F225" s="15">
        <v>3.871</v>
      </c>
      <c r="G225" s="16">
        <v>14005334</v>
      </c>
    </row>
    <row r="226" spans="1:7" x14ac:dyDescent="0.2">
      <c r="A226" s="1">
        <v>45364</v>
      </c>
      <c r="B226" s="15">
        <v>3.8759999999999999</v>
      </c>
      <c r="C226" s="15">
        <v>3.9049999999999998</v>
      </c>
      <c r="D226" s="15">
        <v>3.867</v>
      </c>
      <c r="E226" s="15">
        <v>3.8860000000000001</v>
      </c>
      <c r="F226" s="15">
        <v>3.8860000000000001</v>
      </c>
      <c r="G226" s="16">
        <v>12700519</v>
      </c>
    </row>
    <row r="227" spans="1:7" x14ac:dyDescent="0.2">
      <c r="A227" s="1">
        <v>45365</v>
      </c>
      <c r="B227" s="15">
        <v>3.8919999999999999</v>
      </c>
      <c r="C227" s="15">
        <v>3.9169999999999998</v>
      </c>
      <c r="D227" s="15">
        <v>3.8530000000000002</v>
      </c>
      <c r="E227" s="15">
        <v>3.87</v>
      </c>
      <c r="F227" s="15">
        <v>3.87</v>
      </c>
      <c r="G227" s="16">
        <v>31400354</v>
      </c>
    </row>
    <row r="228" spans="1:7" x14ac:dyDescent="0.2">
      <c r="A228" s="1">
        <v>45366</v>
      </c>
      <c r="B228" s="15">
        <v>3.8719999999999999</v>
      </c>
      <c r="C228" s="15">
        <v>3.9460000000000002</v>
      </c>
      <c r="D228" s="15">
        <v>3.8719999999999999</v>
      </c>
      <c r="E228" s="15">
        <v>3.9169999999999998</v>
      </c>
      <c r="F228" s="15">
        <v>3.9169999999999998</v>
      </c>
      <c r="G228" s="16">
        <v>49819437</v>
      </c>
    </row>
    <row r="229" spans="1:7" x14ac:dyDescent="0.2">
      <c r="A229" s="1">
        <v>45369</v>
      </c>
      <c r="B229" s="15">
        <v>3.92</v>
      </c>
      <c r="C229" s="15">
        <v>3.9319999999999999</v>
      </c>
      <c r="D229" s="15">
        <v>3.89</v>
      </c>
      <c r="E229" s="15">
        <v>3.8980000000000001</v>
      </c>
      <c r="F229" s="15">
        <v>3.8980000000000001</v>
      </c>
      <c r="G229" s="16">
        <v>10357855</v>
      </c>
    </row>
    <row r="230" spans="1:7" x14ac:dyDescent="0.2">
      <c r="A230" s="1">
        <v>45370</v>
      </c>
      <c r="B230" s="15">
        <v>3.91</v>
      </c>
      <c r="C230" s="15">
        <v>3.923</v>
      </c>
      <c r="D230" s="15">
        <v>3.8929999999999998</v>
      </c>
      <c r="E230" s="15">
        <v>3.9009999999999998</v>
      </c>
      <c r="F230" s="15">
        <v>3.9009999999999998</v>
      </c>
      <c r="G230" s="16">
        <v>9333126</v>
      </c>
    </row>
    <row r="231" spans="1:7" x14ac:dyDescent="0.2">
      <c r="A231" s="1">
        <v>45371</v>
      </c>
      <c r="B231" s="15">
        <v>3.8969999999999998</v>
      </c>
      <c r="C231" s="15">
        <v>3.9209999999999998</v>
      </c>
      <c r="D231" s="15">
        <v>3.8969999999999998</v>
      </c>
      <c r="E231" s="15">
        <v>3.9180000000000001</v>
      </c>
      <c r="F231" s="15">
        <v>3.9180000000000001</v>
      </c>
      <c r="G231" s="16">
        <v>9763656</v>
      </c>
    </row>
    <row r="232" spans="1:7" x14ac:dyDescent="0.2">
      <c r="A232" s="1">
        <v>45372</v>
      </c>
      <c r="B232" s="15">
        <v>3.93</v>
      </c>
      <c r="C232" s="15">
        <v>3.9790000000000001</v>
      </c>
      <c r="D232" s="15">
        <v>3.9279999999999999</v>
      </c>
      <c r="E232" s="15">
        <v>3.9550000000000001</v>
      </c>
      <c r="F232" s="15">
        <v>3.9550000000000001</v>
      </c>
      <c r="G232" s="16">
        <v>12510992</v>
      </c>
    </row>
    <row r="233" spans="1:7" x14ac:dyDescent="0.2">
      <c r="A233" s="1">
        <v>45373</v>
      </c>
      <c r="B233" s="15">
        <v>3.9630000000000001</v>
      </c>
      <c r="C233" s="15">
        <v>4.0149999999999997</v>
      </c>
      <c r="D233" s="15">
        <v>3.9620000000000002</v>
      </c>
      <c r="E233" s="15">
        <v>3.9689999999999999</v>
      </c>
      <c r="F233" s="15">
        <v>3.9689999999999999</v>
      </c>
      <c r="G233" s="16">
        <v>19118948</v>
      </c>
    </row>
    <row r="234" spans="1:7" x14ac:dyDescent="0.2">
      <c r="A234" s="1">
        <v>45376</v>
      </c>
      <c r="B234" s="15">
        <v>3.9649999999999999</v>
      </c>
      <c r="C234" s="15">
        <v>3.9980000000000002</v>
      </c>
      <c r="D234" s="15">
        <v>3.9649999999999999</v>
      </c>
      <c r="E234" s="15">
        <v>3.99</v>
      </c>
      <c r="F234" s="15">
        <v>3.99</v>
      </c>
      <c r="G234" s="16">
        <v>10196772</v>
      </c>
    </row>
    <row r="235" spans="1:7" x14ac:dyDescent="0.2">
      <c r="A235" s="1">
        <v>45377</v>
      </c>
      <c r="B235" s="15">
        <v>4</v>
      </c>
      <c r="C235" s="15">
        <v>4.0919999999999996</v>
      </c>
      <c r="D235" s="15">
        <v>3.9889999999999999</v>
      </c>
      <c r="E235" s="15">
        <v>4.0629999999999997</v>
      </c>
      <c r="F235" s="15">
        <v>4.0629999999999997</v>
      </c>
      <c r="G235" s="16">
        <v>76296397</v>
      </c>
    </row>
    <row r="236" spans="1:7" x14ac:dyDescent="0.2">
      <c r="A236" s="1">
        <v>45378</v>
      </c>
      <c r="B236" s="15">
        <v>4.0810000000000004</v>
      </c>
      <c r="C236" s="15">
        <v>4.1150000000000002</v>
      </c>
      <c r="D236" s="15">
        <v>4.07</v>
      </c>
      <c r="E236" s="15">
        <v>4.0890000000000004</v>
      </c>
      <c r="F236" s="15">
        <v>4.0890000000000004</v>
      </c>
      <c r="G236" s="16">
        <v>16871610</v>
      </c>
    </row>
    <row r="237" spans="1:7" x14ac:dyDescent="0.2">
      <c r="A237" s="1">
        <v>45379</v>
      </c>
      <c r="B237" s="15">
        <v>4.0999999999999996</v>
      </c>
      <c r="C237" s="15">
        <v>4.1260000000000003</v>
      </c>
      <c r="D237" s="15">
        <v>4.0860000000000003</v>
      </c>
      <c r="E237" s="15">
        <v>4.0890000000000004</v>
      </c>
      <c r="F237" s="15">
        <v>4.0890000000000004</v>
      </c>
      <c r="G237" s="16">
        <v>17776922</v>
      </c>
    </row>
    <row r="238" spans="1:7" x14ac:dyDescent="0.2">
      <c r="A238" s="1">
        <v>45384</v>
      </c>
      <c r="B238" s="15">
        <v>4.0869999999999997</v>
      </c>
      <c r="C238" s="15">
        <v>4.1219999999999999</v>
      </c>
      <c r="D238" s="15">
        <v>4.0599999999999996</v>
      </c>
      <c r="E238" s="15">
        <v>4.0679999999999996</v>
      </c>
      <c r="F238" s="15">
        <v>4.0679999999999996</v>
      </c>
      <c r="G238" s="16">
        <v>73801800</v>
      </c>
    </row>
    <row r="239" spans="1:7" x14ac:dyDescent="0.2">
      <c r="A239" s="1">
        <v>45385</v>
      </c>
      <c r="B239" s="15">
        <v>4.0650000000000004</v>
      </c>
      <c r="C239" s="15">
        <v>4.0979999999999999</v>
      </c>
      <c r="D239" s="15">
        <v>4.0330000000000004</v>
      </c>
      <c r="E239" s="15">
        <v>4.0439999999999996</v>
      </c>
      <c r="F239" s="15">
        <v>4.0439999999999996</v>
      </c>
      <c r="G239" s="16">
        <v>14006439</v>
      </c>
    </row>
    <row r="240" spans="1:7" x14ac:dyDescent="0.2">
      <c r="A240" s="1">
        <v>45386</v>
      </c>
      <c r="B240" s="15">
        <v>4.0460000000000003</v>
      </c>
      <c r="C240" s="15">
        <v>4.0940000000000003</v>
      </c>
      <c r="D240" s="15">
        <v>4.0460000000000003</v>
      </c>
      <c r="E240" s="15">
        <v>4.0609999999999999</v>
      </c>
      <c r="F240" s="15">
        <v>4.0609999999999999</v>
      </c>
      <c r="G240" s="16">
        <v>34012773</v>
      </c>
    </row>
    <row r="241" spans="1:7" x14ac:dyDescent="0.2">
      <c r="A241" s="1">
        <v>45387</v>
      </c>
      <c r="B241" s="15">
        <v>4.03</v>
      </c>
      <c r="C241" s="15">
        <v>4.0330000000000004</v>
      </c>
      <c r="D241" s="15">
        <v>3.9569999999999999</v>
      </c>
      <c r="E241" s="15">
        <v>3.9769999999999999</v>
      </c>
      <c r="F241" s="15">
        <v>3.9769999999999999</v>
      </c>
      <c r="G241" s="16">
        <v>17046557</v>
      </c>
    </row>
    <row r="242" spans="1:7" x14ac:dyDescent="0.2">
      <c r="A242" s="1">
        <v>45390</v>
      </c>
      <c r="B242" s="15">
        <v>3.98</v>
      </c>
      <c r="C242" s="15">
        <v>3.9849999999999999</v>
      </c>
      <c r="D242" s="15">
        <v>3.9529999999999998</v>
      </c>
      <c r="E242" s="15">
        <v>3.9710000000000001</v>
      </c>
      <c r="F242" s="15">
        <v>3.9710000000000001</v>
      </c>
      <c r="G242" s="16">
        <v>11301392</v>
      </c>
    </row>
    <row r="243" spans="1:7" x14ac:dyDescent="0.2">
      <c r="A243" s="1">
        <v>45391</v>
      </c>
      <c r="B243" s="15">
        <v>3.9860000000000002</v>
      </c>
      <c r="C243" s="15">
        <v>4.0019999999999998</v>
      </c>
      <c r="D243" s="15">
        <v>3.9630000000000001</v>
      </c>
      <c r="E243" s="15">
        <v>3.9740000000000002</v>
      </c>
      <c r="F243" s="15">
        <v>3.9740000000000002</v>
      </c>
      <c r="G243" s="16">
        <v>11563750</v>
      </c>
    </row>
    <row r="244" spans="1:7" x14ac:dyDescent="0.2">
      <c r="A244" s="1">
        <v>45392</v>
      </c>
      <c r="B244" s="15">
        <v>3.988</v>
      </c>
      <c r="C244" s="15">
        <v>3.9929999999999999</v>
      </c>
      <c r="D244" s="15">
        <v>3.9089999999999998</v>
      </c>
      <c r="E244" s="15">
        <v>3.94</v>
      </c>
      <c r="F244" s="15">
        <v>3.94</v>
      </c>
      <c r="G244" s="16">
        <v>10891634</v>
      </c>
    </row>
    <row r="245" spans="1:7" x14ac:dyDescent="0.2">
      <c r="A245" s="1">
        <v>45393</v>
      </c>
      <c r="B245" s="15">
        <v>3.9590000000000001</v>
      </c>
      <c r="C245" s="15">
        <v>3.964</v>
      </c>
      <c r="D245" s="15">
        <v>3.903</v>
      </c>
      <c r="E245" s="15">
        <v>3.93</v>
      </c>
      <c r="F245" s="15">
        <v>3.93</v>
      </c>
      <c r="G245" s="16">
        <v>9860513</v>
      </c>
    </row>
    <row r="246" spans="1:7" x14ac:dyDescent="0.2">
      <c r="A246" s="1">
        <v>45394</v>
      </c>
      <c r="B246" s="15">
        <v>3.9449999999999998</v>
      </c>
      <c r="C246" s="15">
        <v>3.9689999999999999</v>
      </c>
      <c r="D246" s="15">
        <v>3.9380000000000002</v>
      </c>
      <c r="E246" s="15">
        <v>3.9590000000000001</v>
      </c>
      <c r="F246" s="15">
        <v>3.9590000000000001</v>
      </c>
      <c r="G246" s="16">
        <v>14821710</v>
      </c>
    </row>
    <row r="247" spans="1:7" x14ac:dyDescent="0.2">
      <c r="A247" s="1">
        <v>45397</v>
      </c>
      <c r="B247" s="15">
        <v>3.9430000000000001</v>
      </c>
      <c r="C247" s="15">
        <v>3.96</v>
      </c>
      <c r="D247" s="15">
        <v>3.9129999999999998</v>
      </c>
      <c r="E247" s="15">
        <v>3.923</v>
      </c>
      <c r="F247" s="15">
        <v>3.923</v>
      </c>
      <c r="G247" s="16">
        <v>11553317</v>
      </c>
    </row>
    <row r="248" spans="1:7" x14ac:dyDescent="0.2">
      <c r="A248" s="1">
        <v>45398</v>
      </c>
      <c r="B248" s="15">
        <v>3.9020000000000001</v>
      </c>
      <c r="C248" s="15">
        <v>3.923</v>
      </c>
      <c r="D248" s="15">
        <v>3.86</v>
      </c>
      <c r="E248" s="15">
        <v>3.8839999999999999</v>
      </c>
      <c r="F248" s="15">
        <v>3.8839999999999999</v>
      </c>
      <c r="G248" s="16">
        <v>13725437</v>
      </c>
    </row>
    <row r="249" spans="1:7" x14ac:dyDescent="0.2">
      <c r="A249" s="1">
        <v>45399</v>
      </c>
      <c r="B249" s="15">
        <v>3.8740000000000001</v>
      </c>
      <c r="C249" s="15">
        <v>3.9249999999999998</v>
      </c>
      <c r="D249" s="15">
        <v>3.8479999999999999</v>
      </c>
      <c r="E249" s="15">
        <v>3.9129999999999998</v>
      </c>
      <c r="F249" s="15">
        <v>3.9129999999999998</v>
      </c>
      <c r="G249" s="16">
        <v>9402157</v>
      </c>
    </row>
    <row r="250" spans="1:7" x14ac:dyDescent="0.2">
      <c r="A250" s="1">
        <v>45400</v>
      </c>
      <c r="B250" s="15">
        <v>3.9180000000000001</v>
      </c>
      <c r="C250" s="15">
        <v>3.9670000000000001</v>
      </c>
      <c r="D250" s="15">
        <v>3.9159999999999999</v>
      </c>
      <c r="E250" s="15">
        <v>3.9590000000000001</v>
      </c>
      <c r="F250" s="15">
        <v>3.9590000000000001</v>
      </c>
      <c r="G250" s="16">
        <v>8852883</v>
      </c>
    </row>
    <row r="251" spans="1:7" x14ac:dyDescent="0.2">
      <c r="A251" s="1">
        <v>45401</v>
      </c>
      <c r="B251" s="15">
        <v>3.9609999999999999</v>
      </c>
      <c r="C251" s="15">
        <v>4.0090000000000003</v>
      </c>
      <c r="D251" s="15">
        <v>3.931</v>
      </c>
      <c r="E251" s="15">
        <v>4.0069999999999997</v>
      </c>
      <c r="F251" s="15">
        <v>4.0069999999999997</v>
      </c>
      <c r="G251" s="16">
        <v>14195535</v>
      </c>
    </row>
    <row r="252" spans="1:7" x14ac:dyDescent="0.2">
      <c r="A252" s="1">
        <v>45404</v>
      </c>
      <c r="B252" s="15">
        <v>4.0339999999999998</v>
      </c>
      <c r="C252" s="15">
        <v>4.1050000000000004</v>
      </c>
      <c r="D252" s="15">
        <v>4.0309999999999997</v>
      </c>
      <c r="E252" s="15">
        <v>4.0949999999999998</v>
      </c>
      <c r="F252" s="15">
        <v>4.0949999999999998</v>
      </c>
      <c r="G252" s="16">
        <v>23882709</v>
      </c>
    </row>
    <row r="253" spans="1:7" x14ac:dyDescent="0.2">
      <c r="A253" s="1">
        <v>45405</v>
      </c>
      <c r="B253" s="15">
        <v>4.0960000000000001</v>
      </c>
      <c r="C253" s="15">
        <v>4.1680000000000001</v>
      </c>
      <c r="D253" s="15">
        <v>4.0940000000000003</v>
      </c>
      <c r="E253" s="15">
        <v>4.1399999999999997</v>
      </c>
      <c r="F253" s="15">
        <v>4.1399999999999997</v>
      </c>
      <c r="G253" s="16">
        <v>16391219</v>
      </c>
    </row>
    <row r="254" spans="1:7" x14ac:dyDescent="0.2">
      <c r="A254" s="1">
        <v>45406</v>
      </c>
      <c r="B254" s="15">
        <v>4.1479999999999997</v>
      </c>
      <c r="C254" s="15">
        <v>4.1619999999999999</v>
      </c>
      <c r="D254" s="15">
        <v>4.1050000000000004</v>
      </c>
      <c r="E254" s="15">
        <v>4.1180000000000003</v>
      </c>
      <c r="F254" s="15">
        <v>4.1180000000000003</v>
      </c>
      <c r="G254" s="16">
        <v>17657559</v>
      </c>
    </row>
    <row r="255" spans="1:7" x14ac:dyDescent="0.2">
      <c r="A255" s="1">
        <v>45407</v>
      </c>
      <c r="B255" s="15">
        <v>4.1139999999999999</v>
      </c>
      <c r="C255" s="15">
        <v>4.1529999999999996</v>
      </c>
      <c r="D255" s="15">
        <v>4.1079999999999997</v>
      </c>
      <c r="E255" s="15">
        <v>4.1500000000000004</v>
      </c>
      <c r="F255" s="15">
        <v>4.1500000000000004</v>
      </c>
      <c r="G255" s="16">
        <v>12551788</v>
      </c>
    </row>
    <row r="256" spans="1:7" x14ac:dyDescent="0.2">
      <c r="A256" s="1">
        <v>45408</v>
      </c>
      <c r="B256" s="15">
        <v>4.16</v>
      </c>
      <c r="C256" s="15">
        <v>4.24</v>
      </c>
      <c r="D256" s="15">
        <v>4.1539999999999999</v>
      </c>
      <c r="E256" s="15">
        <v>4.2220000000000004</v>
      </c>
      <c r="F256" s="15">
        <v>4.2220000000000004</v>
      </c>
      <c r="G256" s="16">
        <v>16449664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6"/>
  <sheetViews>
    <sheetView topLeftCell="A237" workbookViewId="0">
      <selection activeCell="F2" sqref="F2:F256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45044</v>
      </c>
      <c r="B2">
        <v>30.821608999999999</v>
      </c>
      <c r="C2">
        <v>30.969885000000001</v>
      </c>
      <c r="D2">
        <v>30.445976000000002</v>
      </c>
      <c r="E2">
        <v>30.841379</v>
      </c>
      <c r="F2">
        <v>29.043503000000001</v>
      </c>
      <c r="G2">
        <v>705391</v>
      </c>
    </row>
    <row r="3" spans="1:7" x14ac:dyDescent="0.2">
      <c r="A3" s="1">
        <v>45048</v>
      </c>
      <c r="B3">
        <v>30.920459999999999</v>
      </c>
      <c r="C3">
        <v>31.019310000000001</v>
      </c>
      <c r="D3">
        <v>30.525057</v>
      </c>
      <c r="E3">
        <v>30.702988000000001</v>
      </c>
      <c r="F3">
        <v>28.913179</v>
      </c>
      <c r="G3">
        <v>419749</v>
      </c>
    </row>
    <row r="4" spans="1:7" x14ac:dyDescent="0.2">
      <c r="A4" s="1">
        <v>45049</v>
      </c>
      <c r="B4">
        <v>30.643678999999999</v>
      </c>
      <c r="C4">
        <v>31.157700999999999</v>
      </c>
      <c r="D4">
        <v>30.643678999999999</v>
      </c>
      <c r="E4">
        <v>31.147815999999999</v>
      </c>
      <c r="F4">
        <v>29.332077000000002</v>
      </c>
      <c r="G4">
        <v>484084</v>
      </c>
    </row>
    <row r="5" spans="1:7" x14ac:dyDescent="0.2">
      <c r="A5" s="1">
        <v>45050</v>
      </c>
      <c r="B5">
        <v>31.207127</v>
      </c>
      <c r="C5">
        <v>31.207127</v>
      </c>
      <c r="D5">
        <v>30.801839999999999</v>
      </c>
      <c r="E5">
        <v>30.890803999999999</v>
      </c>
      <c r="F5">
        <v>29.090047999999999</v>
      </c>
      <c r="G5">
        <v>351360</v>
      </c>
    </row>
    <row r="6" spans="1:7" x14ac:dyDescent="0.2">
      <c r="A6" s="1">
        <v>45051</v>
      </c>
      <c r="B6">
        <v>31.068735</v>
      </c>
      <c r="C6">
        <v>31.394940999999999</v>
      </c>
      <c r="D6">
        <v>30.930344000000002</v>
      </c>
      <c r="E6">
        <v>31.394940999999999</v>
      </c>
      <c r="F6">
        <v>29.564796000000001</v>
      </c>
      <c r="G6">
        <v>274665</v>
      </c>
    </row>
    <row r="7" spans="1:7" x14ac:dyDescent="0.2">
      <c r="A7" s="1">
        <v>45054</v>
      </c>
      <c r="B7">
        <v>31.305976999999999</v>
      </c>
      <c r="C7">
        <v>31.602528</v>
      </c>
      <c r="D7">
        <v>31.217009999999998</v>
      </c>
      <c r="E7">
        <v>31.602528</v>
      </c>
      <c r="F7">
        <v>29.760283000000001</v>
      </c>
      <c r="G7">
        <v>259039</v>
      </c>
    </row>
    <row r="8" spans="1:7" x14ac:dyDescent="0.2">
      <c r="A8" s="1">
        <v>45055</v>
      </c>
      <c r="B8">
        <v>31.454252</v>
      </c>
      <c r="C8">
        <v>31.622297</v>
      </c>
      <c r="D8">
        <v>31.187356999999999</v>
      </c>
      <c r="E8">
        <v>31.622297</v>
      </c>
      <c r="F8">
        <v>29.7789</v>
      </c>
      <c r="G8">
        <v>471707</v>
      </c>
    </row>
    <row r="9" spans="1:7" x14ac:dyDescent="0.2">
      <c r="A9" s="1">
        <v>45056</v>
      </c>
      <c r="B9">
        <v>31.632183000000001</v>
      </c>
      <c r="C9">
        <v>31.780457999999999</v>
      </c>
      <c r="D9">
        <v>31.474022000000001</v>
      </c>
      <c r="E9">
        <v>31.671724000000001</v>
      </c>
      <c r="F9">
        <v>29.825444999999998</v>
      </c>
      <c r="G9">
        <v>366574</v>
      </c>
    </row>
    <row r="10" spans="1:7" x14ac:dyDescent="0.2">
      <c r="A10" s="1">
        <v>45057</v>
      </c>
      <c r="B10">
        <v>31.572872</v>
      </c>
      <c r="C10">
        <v>31.859541</v>
      </c>
      <c r="D10">
        <v>31.197241000000002</v>
      </c>
      <c r="E10">
        <v>31.315863</v>
      </c>
      <c r="F10">
        <v>29.490328000000002</v>
      </c>
      <c r="G10">
        <v>341007</v>
      </c>
    </row>
    <row r="11" spans="1:7" x14ac:dyDescent="0.2">
      <c r="A11" s="1">
        <v>45058</v>
      </c>
      <c r="B11">
        <v>31.11816</v>
      </c>
      <c r="C11">
        <v>31.760688999999999</v>
      </c>
      <c r="D11">
        <v>30.732642999999999</v>
      </c>
      <c r="E11">
        <v>30.871034999999999</v>
      </c>
      <c r="F11">
        <v>29.071429999999999</v>
      </c>
      <c r="G11">
        <v>552532</v>
      </c>
    </row>
    <row r="12" spans="1:7" x14ac:dyDescent="0.2">
      <c r="A12" s="1">
        <v>45061</v>
      </c>
      <c r="B12">
        <v>31.019310000000001</v>
      </c>
      <c r="C12">
        <v>31.019310000000001</v>
      </c>
      <c r="D12">
        <v>30.090115000000001</v>
      </c>
      <c r="E12">
        <v>30.406437</v>
      </c>
      <c r="F12">
        <v>28.633917</v>
      </c>
      <c r="G12">
        <v>845760</v>
      </c>
    </row>
    <row r="13" spans="1:7" x14ac:dyDescent="0.2">
      <c r="A13" s="1">
        <v>45062</v>
      </c>
      <c r="B13">
        <v>30.43609</v>
      </c>
      <c r="C13">
        <v>30.683218</v>
      </c>
      <c r="D13">
        <v>30.376781000000001</v>
      </c>
      <c r="E13">
        <v>30.584368000000001</v>
      </c>
      <c r="F13">
        <v>28.801476000000001</v>
      </c>
      <c r="G13">
        <v>334653</v>
      </c>
    </row>
    <row r="14" spans="1:7" x14ac:dyDescent="0.2">
      <c r="A14" s="1">
        <v>45063</v>
      </c>
      <c r="B14">
        <v>30.633793000000001</v>
      </c>
      <c r="C14">
        <v>30.821608999999999</v>
      </c>
      <c r="D14">
        <v>30.495401000000001</v>
      </c>
      <c r="E14">
        <v>30.633793000000001</v>
      </c>
      <c r="F14">
        <v>28.848019000000001</v>
      </c>
      <c r="G14">
        <v>326278</v>
      </c>
    </row>
    <row r="15" spans="1:7" x14ac:dyDescent="0.2">
      <c r="A15" s="1">
        <v>45064</v>
      </c>
      <c r="B15">
        <v>30.693104000000002</v>
      </c>
      <c r="C15">
        <v>31.068735</v>
      </c>
      <c r="D15">
        <v>30.693104000000002</v>
      </c>
      <c r="E15">
        <v>30.861149000000001</v>
      </c>
      <c r="F15">
        <v>29.06212</v>
      </c>
      <c r="G15">
        <v>316151</v>
      </c>
    </row>
    <row r="16" spans="1:7" x14ac:dyDescent="0.2">
      <c r="A16" s="1">
        <v>45065</v>
      </c>
      <c r="B16">
        <v>30.920459999999999</v>
      </c>
      <c r="C16">
        <v>31.167584999999999</v>
      </c>
      <c r="D16">
        <v>30.633793000000001</v>
      </c>
      <c r="E16">
        <v>30.920459999999999</v>
      </c>
      <c r="F16">
        <v>29.117975000000001</v>
      </c>
      <c r="G16">
        <v>468776</v>
      </c>
    </row>
    <row r="17" spans="1:7" x14ac:dyDescent="0.2">
      <c r="A17" s="1">
        <v>45068</v>
      </c>
      <c r="B17">
        <v>31.009423999999999</v>
      </c>
      <c r="C17">
        <v>31.385057</v>
      </c>
      <c r="D17">
        <v>30.959999</v>
      </c>
      <c r="E17">
        <v>31.128043999999999</v>
      </c>
      <c r="F17">
        <v>29.313459000000002</v>
      </c>
      <c r="G17">
        <v>373017</v>
      </c>
    </row>
    <row r="18" spans="1:7" x14ac:dyDescent="0.2">
      <c r="A18" s="1">
        <v>45069</v>
      </c>
      <c r="B18">
        <v>31.098390999999999</v>
      </c>
      <c r="C18">
        <v>31.098390999999999</v>
      </c>
      <c r="D18">
        <v>30.693104000000002</v>
      </c>
      <c r="E18">
        <v>30.732642999999999</v>
      </c>
      <c r="F18">
        <v>28.941106999999999</v>
      </c>
      <c r="G18">
        <v>266776</v>
      </c>
    </row>
    <row r="19" spans="1:7" x14ac:dyDescent="0.2">
      <c r="A19" s="1">
        <v>45070</v>
      </c>
      <c r="B19">
        <v>30.564596000000002</v>
      </c>
      <c r="C19">
        <v>30.604137000000001</v>
      </c>
      <c r="D19">
        <v>30.317471000000001</v>
      </c>
      <c r="E19">
        <v>30.465748000000001</v>
      </c>
      <c r="F19">
        <v>28.689769999999999</v>
      </c>
      <c r="G19">
        <v>478394</v>
      </c>
    </row>
    <row r="20" spans="1:7" x14ac:dyDescent="0.2">
      <c r="A20" s="1">
        <v>45071</v>
      </c>
      <c r="B20">
        <v>30.515170999999999</v>
      </c>
      <c r="C20">
        <v>30.594252000000001</v>
      </c>
      <c r="D20">
        <v>30.347125999999999</v>
      </c>
      <c r="E20">
        <v>30.574482</v>
      </c>
      <c r="F20">
        <v>28.792166000000002</v>
      </c>
      <c r="G20">
        <v>356902</v>
      </c>
    </row>
    <row r="21" spans="1:7" x14ac:dyDescent="0.2">
      <c r="A21" s="1">
        <v>45072</v>
      </c>
      <c r="B21">
        <v>30.752413000000001</v>
      </c>
      <c r="C21">
        <v>30.861149000000001</v>
      </c>
      <c r="D21">
        <v>30.386665000000001</v>
      </c>
      <c r="E21">
        <v>30.752413000000001</v>
      </c>
      <c r="F21">
        <v>28.959724000000001</v>
      </c>
      <c r="G21">
        <v>244394</v>
      </c>
    </row>
    <row r="22" spans="1:7" x14ac:dyDescent="0.2">
      <c r="A22" s="1">
        <v>45075</v>
      </c>
      <c r="B22">
        <v>30.979771</v>
      </c>
      <c r="C22">
        <v>31.048964999999999</v>
      </c>
      <c r="D22">
        <v>30.772182000000001</v>
      </c>
      <c r="E22">
        <v>30.821608999999999</v>
      </c>
      <c r="F22">
        <v>29.024887</v>
      </c>
      <c r="G22">
        <v>149403</v>
      </c>
    </row>
    <row r="23" spans="1:7" x14ac:dyDescent="0.2">
      <c r="A23" s="1">
        <v>45076</v>
      </c>
      <c r="B23">
        <v>30.989654999999999</v>
      </c>
      <c r="C23">
        <v>31.266435999999999</v>
      </c>
      <c r="D23">
        <v>30.762298999999999</v>
      </c>
      <c r="E23">
        <v>30.910574</v>
      </c>
      <c r="F23">
        <v>29.108664000000001</v>
      </c>
      <c r="G23">
        <v>332075</v>
      </c>
    </row>
    <row r="24" spans="1:7" x14ac:dyDescent="0.2">
      <c r="A24" s="1">
        <v>45077</v>
      </c>
      <c r="B24">
        <v>30.712872999999998</v>
      </c>
      <c r="C24">
        <v>31.048964999999999</v>
      </c>
      <c r="D24">
        <v>30.515170999999999</v>
      </c>
      <c r="E24">
        <v>30.762298999999999</v>
      </c>
      <c r="F24">
        <v>28.969031999999999</v>
      </c>
      <c r="G24">
        <v>3532259</v>
      </c>
    </row>
    <row r="25" spans="1:7" x14ac:dyDescent="0.2">
      <c r="A25" s="1">
        <v>45078</v>
      </c>
      <c r="B25">
        <v>31.009423999999999</v>
      </c>
      <c r="C25">
        <v>31.207127</v>
      </c>
      <c r="D25">
        <v>30.890803999999999</v>
      </c>
      <c r="E25">
        <v>31.197241000000002</v>
      </c>
      <c r="F25">
        <v>29.378622</v>
      </c>
      <c r="G25">
        <v>305382</v>
      </c>
    </row>
    <row r="26" spans="1:7" x14ac:dyDescent="0.2">
      <c r="A26" s="1">
        <v>45079</v>
      </c>
      <c r="B26">
        <v>31.187356999999999</v>
      </c>
      <c r="C26">
        <v>31.23678</v>
      </c>
      <c r="D26">
        <v>30.604137000000001</v>
      </c>
      <c r="E26">
        <v>30.959999</v>
      </c>
      <c r="F26">
        <v>29.155208999999999</v>
      </c>
      <c r="G26">
        <v>529102</v>
      </c>
    </row>
    <row r="27" spans="1:7" x14ac:dyDescent="0.2">
      <c r="A27" s="1">
        <v>45082</v>
      </c>
      <c r="B27">
        <v>31.128043999999999</v>
      </c>
      <c r="C27">
        <v>31.335632</v>
      </c>
      <c r="D27">
        <v>30.930344000000002</v>
      </c>
      <c r="E27">
        <v>31.039079999999998</v>
      </c>
      <c r="F27">
        <v>29.229679000000001</v>
      </c>
      <c r="G27">
        <v>398886</v>
      </c>
    </row>
    <row r="28" spans="1:7" x14ac:dyDescent="0.2">
      <c r="A28" s="1">
        <v>45083</v>
      </c>
      <c r="B28">
        <v>30.989654999999999</v>
      </c>
      <c r="C28">
        <v>31.029195999999999</v>
      </c>
      <c r="D28">
        <v>30.623906999999999</v>
      </c>
      <c r="E28">
        <v>30.890803999999999</v>
      </c>
      <c r="F28">
        <v>29.090047999999999</v>
      </c>
      <c r="G28">
        <v>244936</v>
      </c>
    </row>
    <row r="29" spans="1:7" x14ac:dyDescent="0.2">
      <c r="A29" s="1">
        <v>45084</v>
      </c>
      <c r="B29">
        <v>30.742529000000001</v>
      </c>
      <c r="C29">
        <v>31.058848999999999</v>
      </c>
      <c r="D29">
        <v>30.653562999999998</v>
      </c>
      <c r="E29">
        <v>30.801839999999999</v>
      </c>
      <c r="F29">
        <v>29.006269</v>
      </c>
      <c r="G29">
        <v>394397</v>
      </c>
    </row>
    <row r="30" spans="1:7" x14ac:dyDescent="0.2">
      <c r="A30" s="1">
        <v>45085</v>
      </c>
      <c r="B30">
        <v>30.742529000000001</v>
      </c>
      <c r="C30">
        <v>30.950113000000002</v>
      </c>
      <c r="D30">
        <v>30.702988000000001</v>
      </c>
      <c r="E30">
        <v>30.950113000000002</v>
      </c>
      <c r="F30">
        <v>29.145900999999999</v>
      </c>
      <c r="G30">
        <v>274398</v>
      </c>
    </row>
    <row r="31" spans="1:7" x14ac:dyDescent="0.2">
      <c r="A31" s="1">
        <v>45086</v>
      </c>
      <c r="B31">
        <v>30.979771</v>
      </c>
      <c r="C31">
        <v>31.147815999999999</v>
      </c>
      <c r="D31">
        <v>30.811724000000002</v>
      </c>
      <c r="E31">
        <v>31.11816</v>
      </c>
      <c r="F31">
        <v>29.30415</v>
      </c>
      <c r="G31">
        <v>288671</v>
      </c>
    </row>
    <row r="32" spans="1:7" x14ac:dyDescent="0.2">
      <c r="A32" s="1">
        <v>45089</v>
      </c>
      <c r="B32">
        <v>31.197241000000002</v>
      </c>
      <c r="C32">
        <v>31.572872</v>
      </c>
      <c r="D32">
        <v>31.068735</v>
      </c>
      <c r="E32">
        <v>31.503677</v>
      </c>
      <c r="F32">
        <v>29.667193999999999</v>
      </c>
      <c r="G32">
        <v>320686</v>
      </c>
    </row>
    <row r="33" spans="1:7" x14ac:dyDescent="0.2">
      <c r="A33" s="1">
        <v>45090</v>
      </c>
      <c r="B33">
        <v>31.582757999999998</v>
      </c>
      <c r="C33">
        <v>31.592644</v>
      </c>
      <c r="D33">
        <v>30.861149000000001</v>
      </c>
      <c r="E33">
        <v>31.019310000000001</v>
      </c>
      <c r="F33">
        <v>29.211061000000001</v>
      </c>
      <c r="G33">
        <v>414592</v>
      </c>
    </row>
    <row r="34" spans="1:7" x14ac:dyDescent="0.2">
      <c r="A34" s="1">
        <v>45091</v>
      </c>
      <c r="B34">
        <v>31.019310000000001</v>
      </c>
      <c r="C34">
        <v>31.108274000000002</v>
      </c>
      <c r="D34">
        <v>30.821608999999999</v>
      </c>
      <c r="E34">
        <v>30.871034999999999</v>
      </c>
      <c r="F34">
        <v>29.071429999999999</v>
      </c>
      <c r="G34">
        <v>486267</v>
      </c>
    </row>
    <row r="35" spans="1:7" x14ac:dyDescent="0.2">
      <c r="A35" s="1">
        <v>45092</v>
      </c>
      <c r="B35">
        <v>30.801839999999999</v>
      </c>
      <c r="C35">
        <v>31.048964999999999</v>
      </c>
      <c r="D35">
        <v>30.702988000000001</v>
      </c>
      <c r="E35">
        <v>30.959999</v>
      </c>
      <c r="F35">
        <v>29.155208999999999</v>
      </c>
      <c r="G35">
        <v>312616</v>
      </c>
    </row>
    <row r="36" spans="1:7" x14ac:dyDescent="0.2">
      <c r="A36" s="1">
        <v>45093</v>
      </c>
      <c r="B36">
        <v>30.969885000000001</v>
      </c>
      <c r="C36">
        <v>31.375171999999999</v>
      </c>
      <c r="D36">
        <v>30.890803999999999</v>
      </c>
      <c r="E36">
        <v>31.266435999999999</v>
      </c>
      <c r="F36">
        <v>29.443783</v>
      </c>
      <c r="G36">
        <v>1305370</v>
      </c>
    </row>
    <row r="37" spans="1:7" x14ac:dyDescent="0.2">
      <c r="A37" s="1">
        <v>45096</v>
      </c>
      <c r="B37">
        <v>31.137931999999999</v>
      </c>
      <c r="C37">
        <v>31.147815999999999</v>
      </c>
      <c r="D37">
        <v>30.663447999999999</v>
      </c>
      <c r="E37">
        <v>30.772182000000001</v>
      </c>
      <c r="F37">
        <v>28.978339999999999</v>
      </c>
      <c r="G37">
        <v>484708</v>
      </c>
    </row>
    <row r="38" spans="1:7" x14ac:dyDescent="0.2">
      <c r="A38" s="1">
        <v>45097</v>
      </c>
      <c r="B38">
        <v>30.722757000000001</v>
      </c>
      <c r="C38">
        <v>30.841379</v>
      </c>
      <c r="D38">
        <v>30.653562999999998</v>
      </c>
      <c r="E38">
        <v>30.752413000000001</v>
      </c>
      <c r="F38">
        <v>28.959724000000001</v>
      </c>
      <c r="G38">
        <v>384323</v>
      </c>
    </row>
    <row r="39" spans="1:7" x14ac:dyDescent="0.2">
      <c r="A39" s="1">
        <v>45098</v>
      </c>
      <c r="B39">
        <v>30.811724000000002</v>
      </c>
      <c r="C39">
        <v>31.009423999999999</v>
      </c>
      <c r="D39">
        <v>30.732642999999999</v>
      </c>
      <c r="E39">
        <v>30.900687999999999</v>
      </c>
      <c r="F39">
        <v>29.099356</v>
      </c>
      <c r="G39">
        <v>224077</v>
      </c>
    </row>
    <row r="40" spans="1:7" x14ac:dyDescent="0.2">
      <c r="A40" s="1">
        <v>45099</v>
      </c>
      <c r="B40">
        <v>30.693104000000002</v>
      </c>
      <c r="C40">
        <v>30.920459999999999</v>
      </c>
      <c r="D40">
        <v>30.475632000000001</v>
      </c>
      <c r="E40">
        <v>30.732642999999999</v>
      </c>
      <c r="F40">
        <v>28.941106999999999</v>
      </c>
      <c r="G40">
        <v>435085</v>
      </c>
    </row>
    <row r="41" spans="1:7" x14ac:dyDescent="0.2">
      <c r="A41" s="1">
        <v>45100</v>
      </c>
      <c r="B41">
        <v>30.623906999999999</v>
      </c>
      <c r="C41">
        <v>30.673331999999998</v>
      </c>
      <c r="D41">
        <v>30.376781000000001</v>
      </c>
      <c r="E41">
        <v>30.614021000000001</v>
      </c>
      <c r="F41">
        <v>28.829398999999999</v>
      </c>
      <c r="G41">
        <v>425826</v>
      </c>
    </row>
    <row r="42" spans="1:7" x14ac:dyDescent="0.2">
      <c r="A42" s="1">
        <v>45103</v>
      </c>
      <c r="B42">
        <v>30.604137000000001</v>
      </c>
      <c r="C42">
        <v>30.841379</v>
      </c>
      <c r="D42">
        <v>30.287814999999998</v>
      </c>
      <c r="E42">
        <v>30.673331999999998</v>
      </c>
      <c r="F42">
        <v>28.885254</v>
      </c>
      <c r="G42">
        <v>417624</v>
      </c>
    </row>
    <row r="43" spans="1:7" x14ac:dyDescent="0.2">
      <c r="A43" s="1">
        <v>45104</v>
      </c>
      <c r="B43">
        <v>30.782067999999999</v>
      </c>
      <c r="C43">
        <v>30.989654999999999</v>
      </c>
      <c r="D43">
        <v>30.426207000000002</v>
      </c>
      <c r="E43">
        <v>30.930344000000002</v>
      </c>
      <c r="F43">
        <v>29.127282999999998</v>
      </c>
      <c r="G43">
        <v>454547</v>
      </c>
    </row>
    <row r="44" spans="1:7" x14ac:dyDescent="0.2">
      <c r="A44" s="1">
        <v>45105</v>
      </c>
      <c r="B44">
        <v>30.979771</v>
      </c>
      <c r="C44">
        <v>31.167584999999999</v>
      </c>
      <c r="D44">
        <v>30.900687999999999</v>
      </c>
      <c r="E44">
        <v>31.078620999999998</v>
      </c>
      <c r="F44">
        <v>29.266915999999998</v>
      </c>
      <c r="G44">
        <v>454437</v>
      </c>
    </row>
    <row r="45" spans="1:7" x14ac:dyDescent="0.2">
      <c r="A45" s="1">
        <v>45106</v>
      </c>
      <c r="B45">
        <v>31.137931999999999</v>
      </c>
      <c r="C45">
        <v>31.533332999999999</v>
      </c>
      <c r="D45">
        <v>31.058848999999999</v>
      </c>
      <c r="E45">
        <v>31.345516</v>
      </c>
      <c r="F45">
        <v>29.518253000000001</v>
      </c>
      <c r="G45">
        <v>387586</v>
      </c>
    </row>
    <row r="46" spans="1:7" x14ac:dyDescent="0.2">
      <c r="A46" s="1">
        <v>45107</v>
      </c>
      <c r="B46">
        <v>31.434483</v>
      </c>
      <c r="C46">
        <v>31.859541</v>
      </c>
      <c r="D46">
        <v>31.108274000000002</v>
      </c>
      <c r="E46">
        <v>31.800228000000001</v>
      </c>
      <c r="F46">
        <v>29.946459000000001</v>
      </c>
      <c r="G46">
        <v>680630</v>
      </c>
    </row>
    <row r="47" spans="1:7" x14ac:dyDescent="0.2">
      <c r="A47" s="1">
        <v>45110</v>
      </c>
      <c r="B47">
        <v>31.800228000000001</v>
      </c>
      <c r="C47">
        <v>31.800228000000001</v>
      </c>
      <c r="D47">
        <v>31.404827000000001</v>
      </c>
      <c r="E47">
        <v>31.404827000000001</v>
      </c>
      <c r="F47">
        <v>29.574106</v>
      </c>
      <c r="G47">
        <v>656266</v>
      </c>
    </row>
    <row r="48" spans="1:7" x14ac:dyDescent="0.2">
      <c r="A48" s="1">
        <v>45111</v>
      </c>
      <c r="B48">
        <v>30.001148000000001</v>
      </c>
      <c r="C48">
        <v>30.001148000000001</v>
      </c>
      <c r="D48">
        <v>29.635403</v>
      </c>
      <c r="E48">
        <v>29.773792</v>
      </c>
      <c r="F48">
        <v>29.426807</v>
      </c>
      <c r="G48">
        <v>542359</v>
      </c>
    </row>
    <row r="49" spans="1:7" x14ac:dyDescent="0.2">
      <c r="A49" s="1">
        <v>45112</v>
      </c>
      <c r="B49">
        <v>29.744136999999998</v>
      </c>
      <c r="C49">
        <v>29.744136999999998</v>
      </c>
      <c r="D49">
        <v>29.378388999999999</v>
      </c>
      <c r="E49">
        <v>29.467355999999999</v>
      </c>
      <c r="F49">
        <v>29.123943000000001</v>
      </c>
      <c r="G49">
        <v>659404</v>
      </c>
    </row>
    <row r="50" spans="1:7" x14ac:dyDescent="0.2">
      <c r="A50" s="1">
        <v>45113</v>
      </c>
      <c r="B50">
        <v>29.269655</v>
      </c>
      <c r="C50">
        <v>29.328963999999999</v>
      </c>
      <c r="D50">
        <v>28.795172000000001</v>
      </c>
      <c r="E50">
        <v>28.894022</v>
      </c>
      <c r="F50">
        <v>28.557290999999999</v>
      </c>
      <c r="G50">
        <v>632304</v>
      </c>
    </row>
    <row r="51" spans="1:7" x14ac:dyDescent="0.2">
      <c r="A51" s="1">
        <v>45114</v>
      </c>
      <c r="B51">
        <v>28.874251999999998</v>
      </c>
      <c r="C51">
        <v>29.101607999999999</v>
      </c>
      <c r="D51">
        <v>28.716090999999999</v>
      </c>
      <c r="E51">
        <v>29.081838999999999</v>
      </c>
      <c r="F51">
        <v>28.742918</v>
      </c>
      <c r="G51">
        <v>504789</v>
      </c>
    </row>
    <row r="52" spans="1:7" x14ac:dyDescent="0.2">
      <c r="A52" s="1">
        <v>45117</v>
      </c>
      <c r="B52">
        <v>28.943446999999999</v>
      </c>
      <c r="C52">
        <v>29.309194999999999</v>
      </c>
      <c r="D52">
        <v>28.913793999999999</v>
      </c>
      <c r="E52">
        <v>29.269655</v>
      </c>
      <c r="F52">
        <v>28.928546999999998</v>
      </c>
      <c r="G52">
        <v>391329</v>
      </c>
    </row>
    <row r="53" spans="1:7" x14ac:dyDescent="0.2">
      <c r="A53" s="1">
        <v>45118</v>
      </c>
      <c r="B53">
        <v>29.447586000000001</v>
      </c>
      <c r="C53">
        <v>29.763908000000001</v>
      </c>
      <c r="D53">
        <v>29.160919</v>
      </c>
      <c r="E53">
        <v>29.704597</v>
      </c>
      <c r="F53">
        <v>29.358419000000001</v>
      </c>
      <c r="G53">
        <v>426427</v>
      </c>
    </row>
    <row r="54" spans="1:7" x14ac:dyDescent="0.2">
      <c r="A54" s="1">
        <v>45119</v>
      </c>
      <c r="B54">
        <v>29.813334000000001</v>
      </c>
      <c r="C54">
        <v>29.912184</v>
      </c>
      <c r="D54">
        <v>29.665056</v>
      </c>
      <c r="E54">
        <v>29.813334000000001</v>
      </c>
      <c r="F54">
        <v>29.465889000000001</v>
      </c>
      <c r="G54">
        <v>289541</v>
      </c>
    </row>
    <row r="55" spans="1:7" x14ac:dyDescent="0.2">
      <c r="A55" s="1">
        <v>45120</v>
      </c>
      <c r="B55">
        <v>29.309194999999999</v>
      </c>
      <c r="C55">
        <v>29.793564</v>
      </c>
      <c r="D55">
        <v>29.309194999999999</v>
      </c>
      <c r="E55">
        <v>29.635403</v>
      </c>
      <c r="F55">
        <v>29.290030999999999</v>
      </c>
      <c r="G55">
        <v>397363</v>
      </c>
    </row>
    <row r="56" spans="1:7" x14ac:dyDescent="0.2">
      <c r="A56" s="1">
        <v>45121</v>
      </c>
      <c r="B56">
        <v>29.635403</v>
      </c>
      <c r="C56">
        <v>29.773792</v>
      </c>
      <c r="D56">
        <v>29.417930999999999</v>
      </c>
      <c r="E56">
        <v>29.417930999999999</v>
      </c>
      <c r="F56">
        <v>29.075094</v>
      </c>
      <c r="G56">
        <v>1224385</v>
      </c>
    </row>
    <row r="57" spans="1:7" x14ac:dyDescent="0.2">
      <c r="A57" s="1">
        <v>45124</v>
      </c>
      <c r="B57">
        <v>29.309194999999999</v>
      </c>
      <c r="C57">
        <v>29.477242</v>
      </c>
      <c r="D57">
        <v>29.190574999999999</v>
      </c>
      <c r="E57">
        <v>29.299310999999999</v>
      </c>
      <c r="F57">
        <v>28.957854999999999</v>
      </c>
      <c r="G57">
        <v>414336</v>
      </c>
    </row>
    <row r="58" spans="1:7" x14ac:dyDescent="0.2">
      <c r="A58" s="1">
        <v>45125</v>
      </c>
      <c r="B58">
        <v>29.378388999999999</v>
      </c>
      <c r="C58">
        <v>29.447586000000001</v>
      </c>
      <c r="D58">
        <v>29.220227999999999</v>
      </c>
      <c r="E58">
        <v>29.398161000000002</v>
      </c>
      <c r="F58">
        <v>29.055553</v>
      </c>
      <c r="G58">
        <v>342247</v>
      </c>
    </row>
    <row r="59" spans="1:7" x14ac:dyDescent="0.2">
      <c r="A59" s="1">
        <v>45126</v>
      </c>
      <c r="B59">
        <v>29.457471999999999</v>
      </c>
      <c r="C59">
        <v>30.070345</v>
      </c>
      <c r="D59">
        <v>29.457471999999999</v>
      </c>
      <c r="E59">
        <v>29.951723000000001</v>
      </c>
      <c r="F59">
        <v>29.602664999999998</v>
      </c>
      <c r="G59">
        <v>334009</v>
      </c>
    </row>
    <row r="60" spans="1:7" x14ac:dyDescent="0.2">
      <c r="A60" s="1">
        <v>45127</v>
      </c>
      <c r="B60">
        <v>30.011033999999999</v>
      </c>
      <c r="C60">
        <v>30.604137000000001</v>
      </c>
      <c r="D60">
        <v>30.011033999999999</v>
      </c>
      <c r="E60">
        <v>30.445976000000002</v>
      </c>
      <c r="F60">
        <v>30.091158</v>
      </c>
      <c r="G60">
        <v>379131</v>
      </c>
    </row>
    <row r="61" spans="1:7" x14ac:dyDescent="0.2">
      <c r="A61" s="1">
        <v>45128</v>
      </c>
      <c r="B61">
        <v>30.465748000000001</v>
      </c>
      <c r="C61">
        <v>30.495401000000001</v>
      </c>
      <c r="D61">
        <v>30.218620000000001</v>
      </c>
      <c r="E61">
        <v>30.307587000000002</v>
      </c>
      <c r="F61">
        <v>29.954381999999999</v>
      </c>
      <c r="G61">
        <v>509380</v>
      </c>
    </row>
    <row r="62" spans="1:7" x14ac:dyDescent="0.2">
      <c r="A62" s="1">
        <v>45131</v>
      </c>
      <c r="B62">
        <v>30.030804</v>
      </c>
      <c r="C62">
        <v>30.238389999999999</v>
      </c>
      <c r="D62">
        <v>29.852872999999999</v>
      </c>
      <c r="E62">
        <v>30.099997999999999</v>
      </c>
      <c r="F62">
        <v>29.749212</v>
      </c>
      <c r="G62">
        <v>279844</v>
      </c>
    </row>
    <row r="63" spans="1:7" x14ac:dyDescent="0.2">
      <c r="A63" s="1">
        <v>45132</v>
      </c>
      <c r="B63">
        <v>30.040689</v>
      </c>
      <c r="C63">
        <v>30.228504000000001</v>
      </c>
      <c r="D63">
        <v>29.941839000000002</v>
      </c>
      <c r="E63">
        <v>30.228504000000001</v>
      </c>
      <c r="F63">
        <v>29.876221000000001</v>
      </c>
      <c r="G63">
        <v>274811</v>
      </c>
    </row>
    <row r="64" spans="1:7" x14ac:dyDescent="0.2">
      <c r="A64" s="1">
        <v>45133</v>
      </c>
      <c r="B64">
        <v>30.159309</v>
      </c>
      <c r="C64">
        <v>31.187356999999999</v>
      </c>
      <c r="D64">
        <v>30.159309</v>
      </c>
      <c r="E64">
        <v>31.187356999999999</v>
      </c>
      <c r="F64">
        <v>30.823898</v>
      </c>
      <c r="G64">
        <v>728652</v>
      </c>
    </row>
    <row r="65" spans="1:7" x14ac:dyDescent="0.2">
      <c r="A65" s="1">
        <v>45134</v>
      </c>
      <c r="B65">
        <v>30.890803999999999</v>
      </c>
      <c r="C65">
        <v>31.651955000000001</v>
      </c>
      <c r="D65">
        <v>30.841379</v>
      </c>
      <c r="E65">
        <v>31.474022000000001</v>
      </c>
      <c r="F65">
        <v>31.107223999999999</v>
      </c>
      <c r="G65">
        <v>591894</v>
      </c>
    </row>
    <row r="66" spans="1:7" x14ac:dyDescent="0.2">
      <c r="A66" s="1">
        <v>45135</v>
      </c>
      <c r="B66">
        <v>31.137931999999999</v>
      </c>
      <c r="C66">
        <v>31.839769</v>
      </c>
      <c r="D66">
        <v>31.137931999999999</v>
      </c>
      <c r="E66">
        <v>31.572872</v>
      </c>
      <c r="F66">
        <v>31.204922</v>
      </c>
      <c r="G66">
        <v>463992</v>
      </c>
    </row>
    <row r="67" spans="1:7" x14ac:dyDescent="0.2">
      <c r="A67" s="1">
        <v>45138</v>
      </c>
      <c r="B67">
        <v>31.632183000000001</v>
      </c>
      <c r="C67">
        <v>31.671724000000001</v>
      </c>
      <c r="D67">
        <v>31.414712999999999</v>
      </c>
      <c r="E67">
        <v>31.424596999999999</v>
      </c>
      <c r="F67">
        <v>31.058374000000001</v>
      </c>
      <c r="G67">
        <v>519637</v>
      </c>
    </row>
    <row r="68" spans="1:7" x14ac:dyDescent="0.2">
      <c r="A68" s="1">
        <v>45139</v>
      </c>
      <c r="B68">
        <v>31.424596999999999</v>
      </c>
      <c r="C68">
        <v>31.483908</v>
      </c>
      <c r="D68">
        <v>31.157700999999999</v>
      </c>
      <c r="E68">
        <v>31.276320999999999</v>
      </c>
      <c r="F68">
        <v>30.911826999999999</v>
      </c>
      <c r="G68">
        <v>334300</v>
      </c>
    </row>
    <row r="69" spans="1:7" x14ac:dyDescent="0.2">
      <c r="A69" s="1">
        <v>45140</v>
      </c>
      <c r="B69">
        <v>31.078620999999998</v>
      </c>
      <c r="C69">
        <v>31.187356999999999</v>
      </c>
      <c r="D69">
        <v>30.534942999999998</v>
      </c>
      <c r="E69">
        <v>31.068735</v>
      </c>
      <c r="F69">
        <v>30.706658999999998</v>
      </c>
      <c r="G69">
        <v>395259</v>
      </c>
    </row>
    <row r="70" spans="1:7" x14ac:dyDescent="0.2">
      <c r="A70" s="1">
        <v>45141</v>
      </c>
      <c r="B70">
        <v>31.039079999999998</v>
      </c>
      <c r="C70">
        <v>31.068735</v>
      </c>
      <c r="D70">
        <v>30.663447999999999</v>
      </c>
      <c r="E70">
        <v>30.791954</v>
      </c>
      <c r="F70">
        <v>30.433104</v>
      </c>
      <c r="G70">
        <v>315568</v>
      </c>
    </row>
    <row r="71" spans="1:7" x14ac:dyDescent="0.2">
      <c r="A71" s="1">
        <v>45142</v>
      </c>
      <c r="B71">
        <v>30.880918999999999</v>
      </c>
      <c r="C71">
        <v>31.068735</v>
      </c>
      <c r="D71">
        <v>30.821608999999999</v>
      </c>
      <c r="E71">
        <v>30.99954</v>
      </c>
      <c r="F71">
        <v>30.638271</v>
      </c>
      <c r="G71">
        <v>172086</v>
      </c>
    </row>
    <row r="72" spans="1:7" x14ac:dyDescent="0.2">
      <c r="A72" s="1">
        <v>45145</v>
      </c>
      <c r="B72">
        <v>30.841379</v>
      </c>
      <c r="C72">
        <v>31.088505000000001</v>
      </c>
      <c r="D72">
        <v>30.732642999999999</v>
      </c>
      <c r="E72">
        <v>31.078620999999998</v>
      </c>
      <c r="F72">
        <v>30.716431</v>
      </c>
      <c r="G72">
        <v>235172</v>
      </c>
    </row>
    <row r="73" spans="1:7" x14ac:dyDescent="0.2">
      <c r="A73" s="1">
        <v>45146</v>
      </c>
      <c r="B73">
        <v>30.900687999999999</v>
      </c>
      <c r="C73">
        <v>31.226896</v>
      </c>
      <c r="D73">
        <v>30.851265000000001</v>
      </c>
      <c r="E73">
        <v>31.029195999999999</v>
      </c>
      <c r="F73">
        <v>30.667581999999999</v>
      </c>
      <c r="G73">
        <v>240653</v>
      </c>
    </row>
    <row r="74" spans="1:7" x14ac:dyDescent="0.2">
      <c r="A74" s="1">
        <v>45147</v>
      </c>
      <c r="B74">
        <v>31.23678</v>
      </c>
      <c r="C74">
        <v>31.335632</v>
      </c>
      <c r="D74">
        <v>31.039079999999998</v>
      </c>
      <c r="E74">
        <v>31.276320999999999</v>
      </c>
      <c r="F74">
        <v>30.911826999999999</v>
      </c>
      <c r="G74">
        <v>238275</v>
      </c>
    </row>
    <row r="75" spans="1:7" x14ac:dyDescent="0.2">
      <c r="A75" s="1">
        <v>45148</v>
      </c>
      <c r="B75">
        <v>31.335632</v>
      </c>
      <c r="C75">
        <v>31.483908</v>
      </c>
      <c r="D75">
        <v>31.266435999999999</v>
      </c>
      <c r="E75">
        <v>31.404827000000001</v>
      </c>
      <c r="F75">
        <v>31.038836</v>
      </c>
      <c r="G75">
        <v>271107</v>
      </c>
    </row>
    <row r="76" spans="1:7" x14ac:dyDescent="0.2">
      <c r="A76" s="1">
        <v>45149</v>
      </c>
      <c r="B76">
        <v>31.474022000000001</v>
      </c>
      <c r="C76">
        <v>31.671724000000001</v>
      </c>
      <c r="D76">
        <v>31.276320999999999</v>
      </c>
      <c r="E76">
        <v>31.434483</v>
      </c>
      <c r="F76">
        <v>31.068144</v>
      </c>
      <c r="G76">
        <v>218017</v>
      </c>
    </row>
    <row r="77" spans="1:7" x14ac:dyDescent="0.2">
      <c r="A77" s="1">
        <v>45152</v>
      </c>
      <c r="B77">
        <v>31.187356999999999</v>
      </c>
      <c r="C77">
        <v>31.454252</v>
      </c>
      <c r="D77">
        <v>31.058848999999999</v>
      </c>
      <c r="E77">
        <v>31.315863</v>
      </c>
      <c r="F77">
        <v>30.950907000000001</v>
      </c>
      <c r="G77">
        <v>158884</v>
      </c>
    </row>
    <row r="78" spans="1:7" x14ac:dyDescent="0.2">
      <c r="A78" s="1">
        <v>45153</v>
      </c>
      <c r="B78">
        <v>31.315863</v>
      </c>
      <c r="C78">
        <v>31.434483</v>
      </c>
      <c r="D78">
        <v>31.137931999999999</v>
      </c>
      <c r="E78">
        <v>31.147815999999999</v>
      </c>
      <c r="F78">
        <v>30.784818999999999</v>
      </c>
      <c r="G78">
        <v>166974</v>
      </c>
    </row>
    <row r="79" spans="1:7" x14ac:dyDescent="0.2">
      <c r="A79" s="1">
        <v>45154</v>
      </c>
      <c r="B79">
        <v>31.11816</v>
      </c>
      <c r="C79">
        <v>31.335632</v>
      </c>
      <c r="D79">
        <v>31.019310000000001</v>
      </c>
      <c r="E79">
        <v>31.167584999999999</v>
      </c>
      <c r="F79">
        <v>30.804358000000001</v>
      </c>
      <c r="G79">
        <v>187045</v>
      </c>
    </row>
    <row r="80" spans="1:7" x14ac:dyDescent="0.2">
      <c r="A80" s="1">
        <v>45155</v>
      </c>
      <c r="B80">
        <v>31.11816</v>
      </c>
      <c r="C80">
        <v>31.197241000000002</v>
      </c>
      <c r="D80">
        <v>30.890803999999999</v>
      </c>
      <c r="E80">
        <v>30.920459999999999</v>
      </c>
      <c r="F80">
        <v>30.560112</v>
      </c>
      <c r="G80">
        <v>309444</v>
      </c>
    </row>
    <row r="81" spans="1:7" x14ac:dyDescent="0.2">
      <c r="A81" s="1">
        <v>45156</v>
      </c>
      <c r="B81">
        <v>30.811724000000002</v>
      </c>
      <c r="C81">
        <v>30.959999</v>
      </c>
      <c r="D81">
        <v>30.604137000000001</v>
      </c>
      <c r="E81">
        <v>30.940228999999999</v>
      </c>
      <c r="F81">
        <v>30.579650999999998</v>
      </c>
      <c r="G81">
        <v>335648</v>
      </c>
    </row>
    <row r="82" spans="1:7" x14ac:dyDescent="0.2">
      <c r="A82" s="1">
        <v>45159</v>
      </c>
      <c r="B82">
        <v>30.99954</v>
      </c>
      <c r="C82">
        <v>31.167584999999999</v>
      </c>
      <c r="D82">
        <v>30.920459999999999</v>
      </c>
      <c r="E82">
        <v>30.950113000000002</v>
      </c>
      <c r="F82">
        <v>30.58942</v>
      </c>
      <c r="G82">
        <v>179287</v>
      </c>
    </row>
    <row r="83" spans="1:7" x14ac:dyDescent="0.2">
      <c r="A83" s="1">
        <v>45160</v>
      </c>
      <c r="B83">
        <v>31.078620999999998</v>
      </c>
      <c r="C83">
        <v>31.454252</v>
      </c>
      <c r="D83">
        <v>31.078620999999998</v>
      </c>
      <c r="E83">
        <v>31.375171999999999</v>
      </c>
      <c r="F83">
        <v>31.009525</v>
      </c>
      <c r="G83">
        <v>222705</v>
      </c>
    </row>
    <row r="84" spans="1:7" x14ac:dyDescent="0.2">
      <c r="A84" s="1">
        <v>45161</v>
      </c>
      <c r="B84">
        <v>31.454252</v>
      </c>
      <c r="C84">
        <v>31.543219000000001</v>
      </c>
      <c r="D84">
        <v>31.286204999999999</v>
      </c>
      <c r="E84">
        <v>31.385057</v>
      </c>
      <c r="F84">
        <v>31.019295</v>
      </c>
      <c r="G84">
        <v>220024</v>
      </c>
    </row>
    <row r="85" spans="1:7" x14ac:dyDescent="0.2">
      <c r="A85" s="1">
        <v>45162</v>
      </c>
      <c r="B85">
        <v>31.474022000000001</v>
      </c>
      <c r="C85">
        <v>31.671724000000001</v>
      </c>
      <c r="D85">
        <v>31.444365999999999</v>
      </c>
      <c r="E85">
        <v>31.553101999999999</v>
      </c>
      <c r="F85">
        <v>31.185383000000002</v>
      </c>
      <c r="G85">
        <v>244388</v>
      </c>
    </row>
    <row r="86" spans="1:7" x14ac:dyDescent="0.2">
      <c r="A86" s="1">
        <v>45163</v>
      </c>
      <c r="B86">
        <v>31.444365999999999</v>
      </c>
      <c r="C86">
        <v>31.671724000000001</v>
      </c>
      <c r="D86">
        <v>31.187356999999999</v>
      </c>
      <c r="E86">
        <v>31.305976999999999</v>
      </c>
      <c r="F86">
        <v>30.941137000000001</v>
      </c>
      <c r="G86">
        <v>396687</v>
      </c>
    </row>
    <row r="87" spans="1:7" x14ac:dyDescent="0.2">
      <c r="A87" s="1">
        <v>45166</v>
      </c>
      <c r="B87">
        <v>31.533332999999999</v>
      </c>
      <c r="C87">
        <v>31.760688999999999</v>
      </c>
      <c r="D87">
        <v>31.533332999999999</v>
      </c>
      <c r="E87">
        <v>31.651955000000001</v>
      </c>
      <c r="F87">
        <v>31.283083000000001</v>
      </c>
      <c r="G87">
        <v>42379</v>
      </c>
    </row>
    <row r="88" spans="1:7" x14ac:dyDescent="0.2">
      <c r="A88" s="1">
        <v>45167</v>
      </c>
      <c r="B88">
        <v>31.829885000000001</v>
      </c>
      <c r="C88">
        <v>32.047356000000001</v>
      </c>
      <c r="D88">
        <v>31.780457999999999</v>
      </c>
      <c r="E88">
        <v>31.810113999999999</v>
      </c>
      <c r="F88">
        <v>31.439398000000001</v>
      </c>
      <c r="G88">
        <v>456534</v>
      </c>
    </row>
    <row r="89" spans="1:7" x14ac:dyDescent="0.2">
      <c r="A89" s="1">
        <v>45168</v>
      </c>
      <c r="B89">
        <v>31.810113999999999</v>
      </c>
      <c r="C89">
        <v>32.116549999999997</v>
      </c>
      <c r="D89">
        <v>31.790344000000001</v>
      </c>
      <c r="E89">
        <v>31.968274999999998</v>
      </c>
      <c r="F89">
        <v>31.595715999999999</v>
      </c>
      <c r="G89">
        <v>291061</v>
      </c>
    </row>
    <row r="90" spans="1:7" x14ac:dyDescent="0.2">
      <c r="A90" s="1">
        <v>45169</v>
      </c>
      <c r="B90">
        <v>32.037472000000001</v>
      </c>
      <c r="C90">
        <v>32.324139000000002</v>
      </c>
      <c r="D90">
        <v>32.017699999999998</v>
      </c>
      <c r="E90">
        <v>32.017699999999998</v>
      </c>
      <c r="F90">
        <v>31.644566000000001</v>
      </c>
      <c r="G90">
        <v>830826</v>
      </c>
    </row>
    <row r="91" spans="1:7" x14ac:dyDescent="0.2">
      <c r="A91" s="1">
        <v>45170</v>
      </c>
      <c r="B91">
        <v>32.047356000000001</v>
      </c>
      <c r="C91">
        <v>32.254944000000002</v>
      </c>
      <c r="D91">
        <v>31.918849999999999</v>
      </c>
      <c r="E91">
        <v>31.958389</v>
      </c>
      <c r="F91">
        <v>31.585944999999999</v>
      </c>
      <c r="G91">
        <v>208127</v>
      </c>
    </row>
    <row r="92" spans="1:7" x14ac:dyDescent="0.2">
      <c r="A92" s="1">
        <v>45173</v>
      </c>
      <c r="B92">
        <v>32.067126999999999</v>
      </c>
      <c r="C92">
        <v>32.264828000000001</v>
      </c>
      <c r="D92">
        <v>31.889194</v>
      </c>
      <c r="E92">
        <v>31.997931000000001</v>
      </c>
      <c r="F92">
        <v>31.625026999999999</v>
      </c>
      <c r="G92">
        <v>172565</v>
      </c>
    </row>
    <row r="93" spans="1:7" x14ac:dyDescent="0.2">
      <c r="A93" s="1">
        <v>45174</v>
      </c>
      <c r="B93">
        <v>31.93862</v>
      </c>
      <c r="C93">
        <v>32.205517</v>
      </c>
      <c r="D93">
        <v>31.681608000000001</v>
      </c>
      <c r="E93">
        <v>31.889194</v>
      </c>
      <c r="F93">
        <v>31.517557</v>
      </c>
      <c r="G93">
        <v>192898</v>
      </c>
    </row>
    <row r="94" spans="1:7" x14ac:dyDescent="0.2">
      <c r="A94" s="1">
        <v>45175</v>
      </c>
      <c r="B94">
        <v>31.829885000000001</v>
      </c>
      <c r="C94">
        <v>31.997931000000001</v>
      </c>
      <c r="D94">
        <v>31.750805</v>
      </c>
      <c r="E94">
        <v>31.869425</v>
      </c>
      <c r="F94">
        <v>31.498017999999998</v>
      </c>
      <c r="G94">
        <v>201604</v>
      </c>
    </row>
    <row r="95" spans="1:7" x14ac:dyDescent="0.2">
      <c r="A95" s="1">
        <v>45176</v>
      </c>
      <c r="B95">
        <v>31.721149</v>
      </c>
      <c r="C95">
        <v>32.254944000000002</v>
      </c>
      <c r="D95">
        <v>31.721149</v>
      </c>
      <c r="E95">
        <v>32.017699999999998</v>
      </c>
      <c r="F95">
        <v>31.644566000000001</v>
      </c>
      <c r="G95">
        <v>262895</v>
      </c>
    </row>
    <row r="96" spans="1:7" x14ac:dyDescent="0.2">
      <c r="A96" s="1">
        <v>45177</v>
      </c>
      <c r="B96">
        <v>32.225287999999999</v>
      </c>
      <c r="C96">
        <v>32.274712000000001</v>
      </c>
      <c r="D96">
        <v>31.928736000000001</v>
      </c>
      <c r="E96">
        <v>32.106667000000002</v>
      </c>
      <c r="F96">
        <v>31.732493999999999</v>
      </c>
      <c r="G96">
        <v>178986</v>
      </c>
    </row>
    <row r="97" spans="1:7" x14ac:dyDescent="0.2">
      <c r="A97" s="1">
        <v>45180</v>
      </c>
      <c r="B97">
        <v>32.195633000000001</v>
      </c>
      <c r="C97">
        <v>32.561377999999998</v>
      </c>
      <c r="D97">
        <v>32.195633000000001</v>
      </c>
      <c r="E97">
        <v>32.561377999999998</v>
      </c>
      <c r="F97">
        <v>32.181908</v>
      </c>
      <c r="G97">
        <v>229025</v>
      </c>
    </row>
    <row r="98" spans="1:7" x14ac:dyDescent="0.2">
      <c r="A98" s="1">
        <v>45181</v>
      </c>
      <c r="B98">
        <v>32.571261999999997</v>
      </c>
      <c r="C98">
        <v>32.620688999999999</v>
      </c>
      <c r="D98">
        <v>32.185744999999997</v>
      </c>
      <c r="E98">
        <v>32.482300000000002</v>
      </c>
      <c r="F98">
        <v>32.103752</v>
      </c>
      <c r="G98">
        <v>368077</v>
      </c>
    </row>
    <row r="99" spans="1:7" x14ac:dyDescent="0.2">
      <c r="A99" s="1">
        <v>45182</v>
      </c>
      <c r="B99">
        <v>32.442757</v>
      </c>
      <c r="C99">
        <v>32.442757</v>
      </c>
      <c r="D99">
        <v>32.037472000000001</v>
      </c>
      <c r="E99">
        <v>32.284595000000003</v>
      </c>
      <c r="F99">
        <v>31.908349999999999</v>
      </c>
      <c r="G99">
        <v>360892</v>
      </c>
    </row>
    <row r="100" spans="1:7" x14ac:dyDescent="0.2">
      <c r="A100" s="1">
        <v>45183</v>
      </c>
      <c r="B100">
        <v>32.225287999999999</v>
      </c>
      <c r="C100">
        <v>32.581150000000001</v>
      </c>
      <c r="D100">
        <v>32.185744999999997</v>
      </c>
      <c r="E100">
        <v>32.561377999999998</v>
      </c>
      <c r="F100">
        <v>32.181908</v>
      </c>
      <c r="G100">
        <v>397868</v>
      </c>
    </row>
    <row r="101" spans="1:7" x14ac:dyDescent="0.2">
      <c r="A101" s="1">
        <v>45184</v>
      </c>
      <c r="B101">
        <v>32.620688999999999</v>
      </c>
      <c r="C101">
        <v>33.045746000000001</v>
      </c>
      <c r="D101">
        <v>32.610805999999997</v>
      </c>
      <c r="E101">
        <v>33.025978000000002</v>
      </c>
      <c r="F101">
        <v>32.641094000000002</v>
      </c>
      <c r="G101">
        <v>1421030</v>
      </c>
    </row>
    <row r="102" spans="1:7" x14ac:dyDescent="0.2">
      <c r="A102" s="1">
        <v>45187</v>
      </c>
      <c r="B102">
        <v>32.986435</v>
      </c>
      <c r="C102">
        <v>33.233561999999999</v>
      </c>
      <c r="D102">
        <v>32.828274</v>
      </c>
      <c r="E102">
        <v>33.233561999999999</v>
      </c>
      <c r="F102">
        <v>32.846255999999997</v>
      </c>
      <c r="G102">
        <v>381125</v>
      </c>
    </row>
    <row r="103" spans="1:7" x14ac:dyDescent="0.2">
      <c r="A103" s="1">
        <v>45188</v>
      </c>
      <c r="B103">
        <v>33.213794999999998</v>
      </c>
      <c r="C103">
        <v>33.856318999999999</v>
      </c>
      <c r="D103">
        <v>33.105057000000002</v>
      </c>
      <c r="E103">
        <v>33.856318999999999</v>
      </c>
      <c r="F103">
        <v>33.461758000000003</v>
      </c>
      <c r="G103">
        <v>369592</v>
      </c>
    </row>
    <row r="104" spans="1:7" x14ac:dyDescent="0.2">
      <c r="A104" s="1">
        <v>45189</v>
      </c>
      <c r="B104">
        <v>33.797012000000002</v>
      </c>
      <c r="C104">
        <v>34.093563000000003</v>
      </c>
      <c r="D104">
        <v>33.787125000000003</v>
      </c>
      <c r="E104">
        <v>33.965057000000002</v>
      </c>
      <c r="F104">
        <v>33.569229</v>
      </c>
      <c r="G104">
        <v>308148</v>
      </c>
    </row>
    <row r="105" spans="1:7" x14ac:dyDescent="0.2">
      <c r="A105" s="1">
        <v>45190</v>
      </c>
      <c r="B105">
        <v>33.905746000000001</v>
      </c>
      <c r="C105">
        <v>33.91563</v>
      </c>
      <c r="D105">
        <v>33.065517</v>
      </c>
      <c r="E105">
        <v>33.767356999999997</v>
      </c>
      <c r="F105">
        <v>33.373832999999998</v>
      </c>
      <c r="G105">
        <v>464521</v>
      </c>
    </row>
    <row r="106" spans="1:7" x14ac:dyDescent="0.2">
      <c r="A106" s="1">
        <v>45191</v>
      </c>
      <c r="B106">
        <v>33.539997</v>
      </c>
      <c r="C106">
        <v>33.846435999999997</v>
      </c>
      <c r="D106">
        <v>33.381839999999997</v>
      </c>
      <c r="E106">
        <v>33.668506999999998</v>
      </c>
      <c r="F106">
        <v>33.276133999999999</v>
      </c>
      <c r="G106">
        <v>363103</v>
      </c>
    </row>
    <row r="107" spans="1:7" x14ac:dyDescent="0.2">
      <c r="A107" s="1">
        <v>45194</v>
      </c>
      <c r="B107">
        <v>33.609195999999997</v>
      </c>
      <c r="C107">
        <v>33.797012000000002</v>
      </c>
      <c r="D107">
        <v>33.213794999999998</v>
      </c>
      <c r="E107">
        <v>33.441150999999998</v>
      </c>
      <c r="F107">
        <v>33.051425999999999</v>
      </c>
      <c r="G107">
        <v>1156536</v>
      </c>
    </row>
    <row r="108" spans="1:7" x14ac:dyDescent="0.2">
      <c r="A108" s="1">
        <v>45195</v>
      </c>
      <c r="B108">
        <v>33.342297000000002</v>
      </c>
      <c r="C108">
        <v>33.806896000000002</v>
      </c>
      <c r="D108">
        <v>33.322529000000003</v>
      </c>
      <c r="E108">
        <v>33.490574000000002</v>
      </c>
      <c r="F108">
        <v>33.100273000000001</v>
      </c>
      <c r="G108">
        <v>452724</v>
      </c>
    </row>
    <row r="109" spans="1:7" x14ac:dyDescent="0.2">
      <c r="A109" s="1">
        <v>45196</v>
      </c>
      <c r="B109">
        <v>33.549885000000003</v>
      </c>
      <c r="C109">
        <v>33.787125000000003</v>
      </c>
      <c r="D109">
        <v>33.302757</v>
      </c>
      <c r="E109">
        <v>33.411495000000002</v>
      </c>
      <c r="F109">
        <v>33.022117999999999</v>
      </c>
      <c r="G109">
        <v>443311</v>
      </c>
    </row>
    <row r="110" spans="1:7" x14ac:dyDescent="0.2">
      <c r="A110" s="1">
        <v>45197</v>
      </c>
      <c r="B110">
        <v>33.510345000000001</v>
      </c>
      <c r="C110">
        <v>33.579540000000001</v>
      </c>
      <c r="D110">
        <v>33.184134999999998</v>
      </c>
      <c r="E110">
        <v>33.549885000000003</v>
      </c>
      <c r="F110">
        <v>33.158893999999997</v>
      </c>
      <c r="G110">
        <v>470724</v>
      </c>
    </row>
    <row r="111" spans="1:7" x14ac:dyDescent="0.2">
      <c r="A111" s="1">
        <v>45198</v>
      </c>
      <c r="B111">
        <v>33.569656000000002</v>
      </c>
      <c r="C111">
        <v>33.91563</v>
      </c>
      <c r="D111">
        <v>33.401608000000003</v>
      </c>
      <c r="E111">
        <v>33.678390999999998</v>
      </c>
      <c r="F111">
        <v>33.285899999999998</v>
      </c>
      <c r="G111">
        <v>512993</v>
      </c>
    </row>
    <row r="112" spans="1:7" x14ac:dyDescent="0.2">
      <c r="A112" s="1">
        <v>45201</v>
      </c>
      <c r="B112">
        <v>33.737701000000001</v>
      </c>
      <c r="C112">
        <v>33.885978999999999</v>
      </c>
      <c r="D112">
        <v>33.263218000000002</v>
      </c>
      <c r="E112">
        <v>33.332413000000003</v>
      </c>
      <c r="F112">
        <v>32.943953999999998</v>
      </c>
      <c r="G112">
        <v>497510</v>
      </c>
    </row>
    <row r="113" spans="1:7" x14ac:dyDescent="0.2">
      <c r="A113" s="1">
        <v>45202</v>
      </c>
      <c r="B113">
        <v>33.114941000000002</v>
      </c>
      <c r="C113">
        <v>33.539997</v>
      </c>
      <c r="D113">
        <v>32.887585000000001</v>
      </c>
      <c r="E113">
        <v>33.065517</v>
      </c>
      <c r="F113">
        <v>32.680171999999999</v>
      </c>
      <c r="G113">
        <v>428835</v>
      </c>
    </row>
    <row r="114" spans="1:7" x14ac:dyDescent="0.2">
      <c r="A114" s="1">
        <v>45203</v>
      </c>
      <c r="B114">
        <v>32.976551000000001</v>
      </c>
      <c r="C114">
        <v>33.243445999999999</v>
      </c>
      <c r="D114">
        <v>32.68</v>
      </c>
      <c r="E114">
        <v>32.976551000000001</v>
      </c>
      <c r="F114">
        <v>32.592243000000003</v>
      </c>
      <c r="G114">
        <v>364682</v>
      </c>
    </row>
    <row r="115" spans="1:7" x14ac:dyDescent="0.2">
      <c r="A115" s="1">
        <v>45204</v>
      </c>
      <c r="B115">
        <v>33.114941000000002</v>
      </c>
      <c r="C115">
        <v>33.114941000000002</v>
      </c>
      <c r="D115">
        <v>31.661839000000001</v>
      </c>
      <c r="E115">
        <v>31.661839000000001</v>
      </c>
      <c r="F115">
        <v>31.292850000000001</v>
      </c>
      <c r="G115">
        <v>721213</v>
      </c>
    </row>
    <row r="116" spans="1:7" x14ac:dyDescent="0.2">
      <c r="A116" s="1">
        <v>45205</v>
      </c>
      <c r="B116">
        <v>31.810113999999999</v>
      </c>
      <c r="C116">
        <v>32.68</v>
      </c>
      <c r="D116">
        <v>31.731033</v>
      </c>
      <c r="E116">
        <v>32.541611000000003</v>
      </c>
      <c r="F116">
        <v>32.162368999999998</v>
      </c>
      <c r="G116">
        <v>457757</v>
      </c>
    </row>
    <row r="117" spans="1:7" x14ac:dyDescent="0.2">
      <c r="A117" s="1">
        <v>45208</v>
      </c>
      <c r="B117">
        <v>32.363678</v>
      </c>
      <c r="C117">
        <v>32.68</v>
      </c>
      <c r="D117">
        <v>32.205517</v>
      </c>
      <c r="E117">
        <v>32.511955</v>
      </c>
      <c r="F117">
        <v>32.13306</v>
      </c>
      <c r="G117">
        <v>354717</v>
      </c>
    </row>
    <row r="118" spans="1:7" x14ac:dyDescent="0.2">
      <c r="A118" s="1">
        <v>45209</v>
      </c>
      <c r="B118">
        <v>32.897472</v>
      </c>
      <c r="C118">
        <v>33.243445999999999</v>
      </c>
      <c r="D118">
        <v>32.808506000000001</v>
      </c>
      <c r="E118">
        <v>33.055633999999998</v>
      </c>
      <c r="F118">
        <v>32.670403</v>
      </c>
      <c r="G118">
        <v>421504</v>
      </c>
    </row>
    <row r="119" spans="1:7" x14ac:dyDescent="0.2">
      <c r="A119" s="1">
        <v>45210</v>
      </c>
      <c r="B119">
        <v>32.927128000000003</v>
      </c>
      <c r="C119">
        <v>33.203907000000001</v>
      </c>
      <c r="D119">
        <v>32.314250999999999</v>
      </c>
      <c r="E119">
        <v>33.144596</v>
      </c>
      <c r="F119">
        <v>32.758327000000001</v>
      </c>
      <c r="G119">
        <v>509430</v>
      </c>
    </row>
    <row r="120" spans="1:7" x14ac:dyDescent="0.2">
      <c r="A120" s="1">
        <v>45211</v>
      </c>
      <c r="B120">
        <v>33.223678999999997</v>
      </c>
      <c r="C120">
        <v>33.312640999999999</v>
      </c>
      <c r="D120">
        <v>33.006207000000003</v>
      </c>
      <c r="E120">
        <v>33.233561999999999</v>
      </c>
      <c r="F120">
        <v>32.846255999999997</v>
      </c>
      <c r="G120">
        <v>312748</v>
      </c>
    </row>
    <row r="121" spans="1:7" x14ac:dyDescent="0.2">
      <c r="A121" s="1">
        <v>45212</v>
      </c>
      <c r="B121">
        <v>33.263218000000002</v>
      </c>
      <c r="C121">
        <v>33.688274</v>
      </c>
      <c r="D121">
        <v>32.788733999999998</v>
      </c>
      <c r="E121">
        <v>32.818390000000001</v>
      </c>
      <c r="F121">
        <v>32.435924999999997</v>
      </c>
      <c r="G121">
        <v>353114</v>
      </c>
    </row>
    <row r="122" spans="1:7" x14ac:dyDescent="0.2">
      <c r="A122" s="1">
        <v>45215</v>
      </c>
      <c r="B122">
        <v>33.035862000000002</v>
      </c>
      <c r="C122">
        <v>33.055633999999998</v>
      </c>
      <c r="D122">
        <v>32.689883999999999</v>
      </c>
      <c r="E122">
        <v>32.749195</v>
      </c>
      <c r="F122">
        <v>32.367534999999997</v>
      </c>
      <c r="G122">
        <v>290268</v>
      </c>
    </row>
    <row r="123" spans="1:7" x14ac:dyDescent="0.2">
      <c r="A123" s="1">
        <v>45216</v>
      </c>
      <c r="B123">
        <v>32.719540000000002</v>
      </c>
      <c r="C123">
        <v>32.798617999999998</v>
      </c>
      <c r="D123">
        <v>32.561377999999998</v>
      </c>
      <c r="E123">
        <v>32.729424000000002</v>
      </c>
      <c r="F123">
        <v>32.347996000000002</v>
      </c>
      <c r="G123">
        <v>264947</v>
      </c>
    </row>
    <row r="124" spans="1:7" x14ac:dyDescent="0.2">
      <c r="A124" s="1">
        <v>45217</v>
      </c>
      <c r="B124">
        <v>32.650345000000002</v>
      </c>
      <c r="C124">
        <v>32.828274</v>
      </c>
      <c r="D124">
        <v>32.225287999999999</v>
      </c>
      <c r="E124">
        <v>32.373562</v>
      </c>
      <c r="F124">
        <v>31.996281</v>
      </c>
      <c r="G124">
        <v>346693</v>
      </c>
    </row>
    <row r="125" spans="1:7" x14ac:dyDescent="0.2">
      <c r="A125" s="1">
        <v>45218</v>
      </c>
      <c r="B125">
        <v>32.195633000000001</v>
      </c>
      <c r="C125">
        <v>32.245055999999998</v>
      </c>
      <c r="D125">
        <v>31.849654999999998</v>
      </c>
      <c r="E125">
        <v>32.136322</v>
      </c>
      <c r="F125">
        <v>31.761804999999999</v>
      </c>
      <c r="G125">
        <v>369072</v>
      </c>
    </row>
    <row r="126" spans="1:7" x14ac:dyDescent="0.2">
      <c r="A126" s="1">
        <v>45219</v>
      </c>
      <c r="B126">
        <v>31.958389</v>
      </c>
      <c r="C126">
        <v>32.136322</v>
      </c>
      <c r="D126">
        <v>31.503677</v>
      </c>
      <c r="E126">
        <v>31.879311000000001</v>
      </c>
      <c r="F126">
        <v>31.507788000000001</v>
      </c>
      <c r="G126">
        <v>828517</v>
      </c>
    </row>
    <row r="127" spans="1:7" x14ac:dyDescent="0.2">
      <c r="A127" s="1">
        <v>45222</v>
      </c>
      <c r="B127">
        <v>31.839769</v>
      </c>
      <c r="C127">
        <v>32.086894999999998</v>
      </c>
      <c r="D127">
        <v>31.750805</v>
      </c>
      <c r="E127">
        <v>32.037472000000001</v>
      </c>
      <c r="F127">
        <v>31.664106</v>
      </c>
      <c r="G127">
        <v>378485</v>
      </c>
    </row>
    <row r="128" spans="1:7" x14ac:dyDescent="0.2">
      <c r="A128" s="1">
        <v>45223</v>
      </c>
      <c r="B128">
        <v>31.899080000000001</v>
      </c>
      <c r="C128">
        <v>32.284595000000003</v>
      </c>
      <c r="D128">
        <v>31.849654999999998</v>
      </c>
      <c r="E128">
        <v>32.245055999999998</v>
      </c>
      <c r="F128">
        <v>31.869271999999999</v>
      </c>
      <c r="G128">
        <v>389864</v>
      </c>
    </row>
    <row r="129" spans="1:7" x14ac:dyDescent="0.2">
      <c r="A129" s="1">
        <v>45224</v>
      </c>
      <c r="B129">
        <v>32.225287999999999</v>
      </c>
      <c r="C129">
        <v>32.393332999999998</v>
      </c>
      <c r="D129">
        <v>32.05724</v>
      </c>
      <c r="E129">
        <v>32.136322</v>
      </c>
      <c r="F129">
        <v>31.761804999999999</v>
      </c>
      <c r="G129">
        <v>384891</v>
      </c>
    </row>
    <row r="130" spans="1:7" x14ac:dyDescent="0.2">
      <c r="A130" s="1">
        <v>45225</v>
      </c>
      <c r="B130">
        <v>31.810113999999999</v>
      </c>
      <c r="C130">
        <v>32.561377999999998</v>
      </c>
      <c r="D130">
        <v>31.800228000000001</v>
      </c>
      <c r="E130">
        <v>32.373562</v>
      </c>
      <c r="F130">
        <v>31.996281</v>
      </c>
      <c r="G130">
        <v>432830</v>
      </c>
    </row>
    <row r="131" spans="1:7" x14ac:dyDescent="0.2">
      <c r="A131" s="1">
        <v>45226</v>
      </c>
      <c r="B131">
        <v>32.531723</v>
      </c>
      <c r="C131">
        <v>33.312640999999999</v>
      </c>
      <c r="D131">
        <v>32.324139000000002</v>
      </c>
      <c r="E131">
        <v>33.035862000000002</v>
      </c>
      <c r="F131">
        <v>32.650860000000002</v>
      </c>
      <c r="G131">
        <v>685096</v>
      </c>
    </row>
    <row r="132" spans="1:7" x14ac:dyDescent="0.2">
      <c r="A132" s="1">
        <v>45229</v>
      </c>
      <c r="B132">
        <v>33.045746000000001</v>
      </c>
      <c r="C132">
        <v>33.411495000000002</v>
      </c>
      <c r="D132">
        <v>32.976551000000001</v>
      </c>
      <c r="E132">
        <v>33.352184000000001</v>
      </c>
      <c r="F132">
        <v>32.963496999999997</v>
      </c>
      <c r="G132">
        <v>384221</v>
      </c>
    </row>
    <row r="133" spans="1:7" x14ac:dyDescent="0.2">
      <c r="A133" s="1">
        <v>45230</v>
      </c>
      <c r="B133">
        <v>33.391724000000004</v>
      </c>
      <c r="C133">
        <v>33.816780000000001</v>
      </c>
      <c r="D133">
        <v>33.253334000000002</v>
      </c>
      <c r="E133">
        <v>33.777240999999997</v>
      </c>
      <c r="F133">
        <v>33.383597999999999</v>
      </c>
      <c r="G133">
        <v>1047248</v>
      </c>
    </row>
    <row r="134" spans="1:7" x14ac:dyDescent="0.2">
      <c r="A134" s="1">
        <v>45231</v>
      </c>
      <c r="B134">
        <v>33.658619000000002</v>
      </c>
      <c r="C134">
        <v>33.836551999999998</v>
      </c>
      <c r="D134">
        <v>33.381839999999997</v>
      </c>
      <c r="E134">
        <v>33.599311999999998</v>
      </c>
      <c r="F134">
        <v>33.207745000000003</v>
      </c>
      <c r="G134">
        <v>280771</v>
      </c>
    </row>
    <row r="135" spans="1:7" x14ac:dyDescent="0.2">
      <c r="A135" s="1">
        <v>45232</v>
      </c>
      <c r="B135">
        <v>33.885978999999999</v>
      </c>
      <c r="C135">
        <v>34.073791999999997</v>
      </c>
      <c r="D135">
        <v>33.688274</v>
      </c>
      <c r="E135">
        <v>33.797012000000002</v>
      </c>
      <c r="F135">
        <v>33.403140999999998</v>
      </c>
      <c r="G135">
        <v>389929</v>
      </c>
    </row>
    <row r="136" spans="1:7" x14ac:dyDescent="0.2">
      <c r="A136" s="1">
        <v>45233</v>
      </c>
      <c r="B136">
        <v>33.955173000000002</v>
      </c>
      <c r="C136">
        <v>34.004596999999997</v>
      </c>
      <c r="D136">
        <v>33.451034999999997</v>
      </c>
      <c r="E136">
        <v>33.500458000000002</v>
      </c>
      <c r="F136">
        <v>33.110042999999997</v>
      </c>
      <c r="G136">
        <v>258096</v>
      </c>
    </row>
    <row r="137" spans="1:7" x14ac:dyDescent="0.2">
      <c r="A137" s="1">
        <v>45236</v>
      </c>
      <c r="B137">
        <v>33.500458000000002</v>
      </c>
      <c r="C137">
        <v>33.500458000000002</v>
      </c>
      <c r="D137">
        <v>33.006207000000003</v>
      </c>
      <c r="E137">
        <v>33.114941000000002</v>
      </c>
      <c r="F137">
        <v>32.729019000000001</v>
      </c>
      <c r="G137">
        <v>273138</v>
      </c>
    </row>
    <row r="138" spans="1:7" x14ac:dyDescent="0.2">
      <c r="A138" s="1">
        <v>45237</v>
      </c>
      <c r="B138">
        <v>32.91724</v>
      </c>
      <c r="C138">
        <v>33.085284999999999</v>
      </c>
      <c r="D138">
        <v>32.719540000000002</v>
      </c>
      <c r="E138">
        <v>32.798617999999998</v>
      </c>
      <c r="F138">
        <v>32.416381999999999</v>
      </c>
      <c r="G138">
        <v>324634</v>
      </c>
    </row>
    <row r="139" spans="1:7" x14ac:dyDescent="0.2">
      <c r="A139" s="1">
        <v>45238</v>
      </c>
      <c r="B139">
        <v>32.709656000000003</v>
      </c>
      <c r="C139">
        <v>32.91724</v>
      </c>
      <c r="D139">
        <v>32.551495000000003</v>
      </c>
      <c r="E139">
        <v>32.877701000000002</v>
      </c>
      <c r="F139">
        <v>32.494545000000002</v>
      </c>
      <c r="G139">
        <v>768008</v>
      </c>
    </row>
    <row r="140" spans="1:7" x14ac:dyDescent="0.2">
      <c r="A140" s="1">
        <v>45239</v>
      </c>
      <c r="B140">
        <v>32.867817000000002</v>
      </c>
      <c r="C140">
        <v>33.055633999999998</v>
      </c>
      <c r="D140">
        <v>32.719540000000002</v>
      </c>
      <c r="E140">
        <v>32.937012000000003</v>
      </c>
      <c r="F140">
        <v>32.553162</v>
      </c>
      <c r="G140">
        <v>276248</v>
      </c>
    </row>
    <row r="141" spans="1:7" x14ac:dyDescent="0.2">
      <c r="A141" s="1">
        <v>45240</v>
      </c>
      <c r="B141">
        <v>32.838160999999999</v>
      </c>
      <c r="C141">
        <v>33.085284999999999</v>
      </c>
      <c r="D141">
        <v>32.778851000000003</v>
      </c>
      <c r="E141">
        <v>32.877701000000002</v>
      </c>
      <c r="F141">
        <v>32.494545000000002</v>
      </c>
      <c r="G141">
        <v>233958</v>
      </c>
    </row>
    <row r="142" spans="1:7" x14ac:dyDescent="0.2">
      <c r="A142" s="1">
        <v>45243</v>
      </c>
      <c r="B142">
        <v>33.500458000000002</v>
      </c>
      <c r="C142">
        <v>33.539997</v>
      </c>
      <c r="D142">
        <v>32.946896000000002</v>
      </c>
      <c r="E142">
        <v>33.391724000000004</v>
      </c>
      <c r="F142">
        <v>33.002575</v>
      </c>
      <c r="G142">
        <v>266919</v>
      </c>
    </row>
    <row r="143" spans="1:7" x14ac:dyDescent="0.2">
      <c r="A143" s="1">
        <v>45244</v>
      </c>
      <c r="B143">
        <v>33.609195999999997</v>
      </c>
      <c r="C143">
        <v>34.182529000000002</v>
      </c>
      <c r="D143">
        <v>32.422989000000001</v>
      </c>
      <c r="E143">
        <v>34.034252000000002</v>
      </c>
      <c r="F143">
        <v>33.637614999999997</v>
      </c>
      <c r="G143">
        <v>561791</v>
      </c>
    </row>
    <row r="144" spans="1:7" x14ac:dyDescent="0.2">
      <c r="A144" s="1">
        <v>45245</v>
      </c>
      <c r="B144">
        <v>34.162757999999997</v>
      </c>
      <c r="C144">
        <v>34.815170000000002</v>
      </c>
      <c r="D144">
        <v>33.974941000000001</v>
      </c>
      <c r="E144">
        <v>34.785519000000001</v>
      </c>
      <c r="F144">
        <v>34.380127000000002</v>
      </c>
      <c r="G144">
        <v>484575</v>
      </c>
    </row>
    <row r="145" spans="1:7" x14ac:dyDescent="0.2">
      <c r="A145" s="1">
        <v>45246</v>
      </c>
      <c r="B145">
        <v>34.676780999999998</v>
      </c>
      <c r="C145">
        <v>35.18092</v>
      </c>
      <c r="D145">
        <v>34.597701999999998</v>
      </c>
      <c r="E145">
        <v>35.151263999999998</v>
      </c>
      <c r="F145">
        <v>34.741610999999999</v>
      </c>
      <c r="G145">
        <v>561792</v>
      </c>
    </row>
    <row r="146" spans="1:7" x14ac:dyDescent="0.2">
      <c r="A146" s="1">
        <v>45247</v>
      </c>
      <c r="B146">
        <v>35.190804</v>
      </c>
      <c r="C146">
        <v>35.536780999999998</v>
      </c>
      <c r="D146">
        <v>35.151263999999998</v>
      </c>
      <c r="E146">
        <v>35.477469999999997</v>
      </c>
      <c r="F146">
        <v>35.064014</v>
      </c>
      <c r="G146">
        <v>936447</v>
      </c>
    </row>
    <row r="147" spans="1:7" x14ac:dyDescent="0.2">
      <c r="A147" s="1">
        <v>45250</v>
      </c>
      <c r="B147">
        <v>35.319308999999997</v>
      </c>
      <c r="C147">
        <v>35.685059000000003</v>
      </c>
      <c r="D147">
        <v>35.289653999999999</v>
      </c>
      <c r="E147">
        <v>35.546664999999997</v>
      </c>
      <c r="F147">
        <v>35.132404000000001</v>
      </c>
      <c r="G147">
        <v>445617</v>
      </c>
    </row>
    <row r="148" spans="1:7" x14ac:dyDescent="0.2">
      <c r="A148" s="1">
        <v>45251</v>
      </c>
      <c r="B148">
        <v>35.497242</v>
      </c>
      <c r="C148">
        <v>35.793793000000001</v>
      </c>
      <c r="D148">
        <v>35.289653999999999</v>
      </c>
      <c r="E148">
        <v>35.764136999999998</v>
      </c>
      <c r="F148">
        <v>35.347340000000003</v>
      </c>
      <c r="G148">
        <v>797381</v>
      </c>
    </row>
    <row r="149" spans="1:7" x14ac:dyDescent="0.2">
      <c r="A149" s="1">
        <v>45252</v>
      </c>
      <c r="B149">
        <v>35.813564</v>
      </c>
      <c r="C149">
        <v>35.813564</v>
      </c>
      <c r="D149">
        <v>35.398392000000001</v>
      </c>
      <c r="E149">
        <v>35.645515000000003</v>
      </c>
      <c r="F149">
        <v>35.230103</v>
      </c>
      <c r="G149">
        <v>495689</v>
      </c>
    </row>
    <row r="150" spans="1:7" x14ac:dyDescent="0.2">
      <c r="A150" s="1">
        <v>45253</v>
      </c>
      <c r="B150">
        <v>35.685059000000003</v>
      </c>
      <c r="C150">
        <v>35.685059000000003</v>
      </c>
      <c r="D150">
        <v>35.319308999999997</v>
      </c>
      <c r="E150">
        <v>35.586205</v>
      </c>
      <c r="F150">
        <v>35.171481999999997</v>
      </c>
      <c r="G150">
        <v>556885</v>
      </c>
    </row>
    <row r="151" spans="1:7" x14ac:dyDescent="0.2">
      <c r="A151" s="1">
        <v>45254</v>
      </c>
      <c r="B151">
        <v>35.546664999999997</v>
      </c>
      <c r="C151">
        <v>35.872871000000004</v>
      </c>
      <c r="D151">
        <v>35.477469999999997</v>
      </c>
      <c r="E151">
        <v>35.813564</v>
      </c>
      <c r="F151">
        <v>35.396191000000002</v>
      </c>
      <c r="G151">
        <v>319083</v>
      </c>
    </row>
    <row r="152" spans="1:7" x14ac:dyDescent="0.2">
      <c r="A152" s="1">
        <v>45257</v>
      </c>
      <c r="B152">
        <v>35.813564</v>
      </c>
      <c r="C152">
        <v>35.991492999999998</v>
      </c>
      <c r="D152">
        <v>35.655403</v>
      </c>
      <c r="E152">
        <v>35.991492999999998</v>
      </c>
      <c r="F152">
        <v>35.572048000000002</v>
      </c>
      <c r="G152">
        <v>473249</v>
      </c>
    </row>
    <row r="153" spans="1:7" x14ac:dyDescent="0.2">
      <c r="A153" s="1">
        <v>45258</v>
      </c>
      <c r="B153">
        <v>35.734482</v>
      </c>
      <c r="C153">
        <v>36.169426000000001</v>
      </c>
      <c r="D153">
        <v>35.625748000000002</v>
      </c>
      <c r="E153">
        <v>35.951954000000001</v>
      </c>
      <c r="F153">
        <v>35.532969999999999</v>
      </c>
      <c r="G153">
        <v>527855</v>
      </c>
    </row>
    <row r="154" spans="1:7" x14ac:dyDescent="0.2">
      <c r="A154" s="1">
        <v>45259</v>
      </c>
      <c r="B154">
        <v>35.882759</v>
      </c>
      <c r="C154">
        <v>36.406666000000001</v>
      </c>
      <c r="D154">
        <v>35.882759</v>
      </c>
      <c r="E154">
        <v>36.337471000000001</v>
      </c>
      <c r="F154">
        <v>35.913994000000002</v>
      </c>
      <c r="G154">
        <v>358758</v>
      </c>
    </row>
    <row r="155" spans="1:7" x14ac:dyDescent="0.2">
      <c r="A155" s="1">
        <v>45260</v>
      </c>
      <c r="B155">
        <v>36.377009999999999</v>
      </c>
      <c r="C155">
        <v>36.436321</v>
      </c>
      <c r="D155">
        <v>36.110115</v>
      </c>
      <c r="E155">
        <v>36.228737000000002</v>
      </c>
      <c r="F155">
        <v>35.806525999999998</v>
      </c>
      <c r="G155">
        <v>1698874</v>
      </c>
    </row>
    <row r="156" spans="1:7" x14ac:dyDescent="0.2">
      <c r="A156" s="1">
        <v>45261</v>
      </c>
      <c r="B156">
        <v>36.357242999999997</v>
      </c>
      <c r="C156">
        <v>36.673560999999999</v>
      </c>
      <c r="D156">
        <v>36.357242999999997</v>
      </c>
      <c r="E156">
        <v>36.624138000000002</v>
      </c>
      <c r="F156">
        <v>36.197319</v>
      </c>
      <c r="G156">
        <v>307191</v>
      </c>
    </row>
    <row r="157" spans="1:7" x14ac:dyDescent="0.2">
      <c r="A157" s="1">
        <v>45264</v>
      </c>
      <c r="B157">
        <v>36.495632000000001</v>
      </c>
      <c r="C157">
        <v>36.772410999999998</v>
      </c>
      <c r="D157">
        <v>36.129886999999997</v>
      </c>
      <c r="E157">
        <v>36.505516</v>
      </c>
      <c r="F157">
        <v>36.080081999999997</v>
      </c>
      <c r="G157">
        <v>278683</v>
      </c>
    </row>
    <row r="158" spans="1:7" x14ac:dyDescent="0.2">
      <c r="A158" s="1">
        <v>45265</v>
      </c>
      <c r="B158">
        <v>36.574711000000001</v>
      </c>
      <c r="C158">
        <v>36.772410999999998</v>
      </c>
      <c r="D158">
        <v>36.297932000000003</v>
      </c>
      <c r="E158">
        <v>36.742759999999997</v>
      </c>
      <c r="F158">
        <v>36.31456</v>
      </c>
      <c r="G158">
        <v>485665</v>
      </c>
    </row>
    <row r="159" spans="1:7" x14ac:dyDescent="0.2">
      <c r="A159" s="1">
        <v>45266</v>
      </c>
      <c r="B159">
        <v>36.920689000000003</v>
      </c>
      <c r="C159">
        <v>37.019539000000002</v>
      </c>
      <c r="D159">
        <v>36.643909000000001</v>
      </c>
      <c r="E159">
        <v>36.643909000000001</v>
      </c>
      <c r="F159">
        <v>36.216861999999999</v>
      </c>
      <c r="G159">
        <v>301221</v>
      </c>
    </row>
    <row r="160" spans="1:7" x14ac:dyDescent="0.2">
      <c r="A160" s="1">
        <v>45267</v>
      </c>
      <c r="B160">
        <v>36.495632000000001</v>
      </c>
      <c r="C160">
        <v>36.861378000000002</v>
      </c>
      <c r="D160">
        <v>36.377009999999999</v>
      </c>
      <c r="E160">
        <v>36.634022000000002</v>
      </c>
      <c r="F160">
        <v>36.207087999999999</v>
      </c>
      <c r="G160">
        <v>401868</v>
      </c>
    </row>
    <row r="161" spans="1:7" x14ac:dyDescent="0.2">
      <c r="A161" s="1">
        <v>45268</v>
      </c>
      <c r="B161">
        <v>36.673560999999999</v>
      </c>
      <c r="C161">
        <v>37.078850000000003</v>
      </c>
      <c r="D161">
        <v>36.505516</v>
      </c>
      <c r="E161">
        <v>37.019539000000002</v>
      </c>
      <c r="F161">
        <v>36.588112000000002</v>
      </c>
      <c r="G161">
        <v>271937</v>
      </c>
    </row>
    <row r="162" spans="1:7" x14ac:dyDescent="0.2">
      <c r="A162" s="1">
        <v>45271</v>
      </c>
      <c r="B162">
        <v>37.03931</v>
      </c>
      <c r="C162">
        <v>37.375400999999997</v>
      </c>
      <c r="D162">
        <v>36.920689000000003</v>
      </c>
      <c r="E162">
        <v>37.029426999999998</v>
      </c>
      <c r="F162">
        <v>36.597884999999998</v>
      </c>
      <c r="G162">
        <v>338643</v>
      </c>
    </row>
    <row r="163" spans="1:7" x14ac:dyDescent="0.2">
      <c r="A163" s="1">
        <v>45272</v>
      </c>
      <c r="B163">
        <v>37.068966000000003</v>
      </c>
      <c r="C163">
        <v>37.721378000000001</v>
      </c>
      <c r="D163">
        <v>37.068966000000003</v>
      </c>
      <c r="E163">
        <v>37.543449000000003</v>
      </c>
      <c r="F163">
        <v>37.105919</v>
      </c>
      <c r="G163">
        <v>599316</v>
      </c>
    </row>
    <row r="164" spans="1:7" x14ac:dyDescent="0.2">
      <c r="A164" s="1">
        <v>45273</v>
      </c>
      <c r="B164">
        <v>37.642299999999999</v>
      </c>
      <c r="C164">
        <v>38.709885</v>
      </c>
      <c r="D164">
        <v>37.642299999999999</v>
      </c>
      <c r="E164">
        <v>38.620918000000003</v>
      </c>
      <c r="F164">
        <v>38.170830000000002</v>
      </c>
      <c r="G164">
        <v>1025873</v>
      </c>
    </row>
    <row r="165" spans="1:7" x14ac:dyDescent="0.2">
      <c r="A165" s="1">
        <v>45274</v>
      </c>
      <c r="B165">
        <v>38.838389999999997</v>
      </c>
      <c r="C165">
        <v>39.332642</v>
      </c>
      <c r="D165">
        <v>38.660457999999998</v>
      </c>
      <c r="E165">
        <v>39.125056999999998</v>
      </c>
      <c r="F165">
        <v>38.669094000000001</v>
      </c>
      <c r="G165">
        <v>818140</v>
      </c>
    </row>
    <row r="166" spans="1:7" x14ac:dyDescent="0.2">
      <c r="A166" s="1">
        <v>45275</v>
      </c>
      <c r="B166">
        <v>39.125056999999998</v>
      </c>
      <c r="C166">
        <v>39.322758</v>
      </c>
      <c r="D166">
        <v>38.363906999999998</v>
      </c>
      <c r="E166">
        <v>39.322758</v>
      </c>
      <c r="F166">
        <v>38.864491000000001</v>
      </c>
      <c r="G166">
        <v>3279958</v>
      </c>
    </row>
    <row r="167" spans="1:7" x14ac:dyDescent="0.2">
      <c r="A167" s="1">
        <v>45278</v>
      </c>
      <c r="B167">
        <v>38.957011999999999</v>
      </c>
      <c r="C167">
        <v>39.085518</v>
      </c>
      <c r="D167">
        <v>38.581378999999998</v>
      </c>
      <c r="E167">
        <v>38.848274000000004</v>
      </c>
      <c r="F167">
        <v>38.395535000000002</v>
      </c>
      <c r="G167">
        <v>708013</v>
      </c>
    </row>
    <row r="168" spans="1:7" x14ac:dyDescent="0.2">
      <c r="A168" s="1">
        <v>45279</v>
      </c>
      <c r="B168">
        <v>38.848274000000004</v>
      </c>
      <c r="C168">
        <v>39.055861999999998</v>
      </c>
      <c r="D168">
        <v>38.769196000000001</v>
      </c>
      <c r="E168">
        <v>38.897700999999998</v>
      </c>
      <c r="F168">
        <v>38.444386000000002</v>
      </c>
      <c r="G168">
        <v>498744</v>
      </c>
    </row>
    <row r="169" spans="1:7" x14ac:dyDescent="0.2">
      <c r="A169" s="1">
        <v>45280</v>
      </c>
      <c r="B169">
        <v>39.016319000000003</v>
      </c>
      <c r="C169">
        <v>39.204135999999998</v>
      </c>
      <c r="D169">
        <v>38.640689999999999</v>
      </c>
      <c r="E169">
        <v>39.026206999999999</v>
      </c>
      <c r="F169">
        <v>38.571396</v>
      </c>
      <c r="G169">
        <v>360426</v>
      </c>
    </row>
    <row r="170" spans="1:7" x14ac:dyDescent="0.2">
      <c r="A170" s="1">
        <v>45281</v>
      </c>
      <c r="B170">
        <v>38.897700999999998</v>
      </c>
      <c r="C170">
        <v>39.312874000000001</v>
      </c>
      <c r="D170">
        <v>38.897700999999998</v>
      </c>
      <c r="E170">
        <v>39.312874000000001</v>
      </c>
      <c r="F170">
        <v>38.854720999999998</v>
      </c>
      <c r="G170">
        <v>437354</v>
      </c>
    </row>
    <row r="171" spans="1:7" x14ac:dyDescent="0.2">
      <c r="A171" s="1">
        <v>45282</v>
      </c>
      <c r="B171">
        <v>39.332642</v>
      </c>
      <c r="C171">
        <v>39.490803</v>
      </c>
      <c r="D171">
        <v>39.204135999999998</v>
      </c>
      <c r="E171">
        <v>39.411724</v>
      </c>
      <c r="F171">
        <v>38.952418999999999</v>
      </c>
      <c r="G171">
        <v>221249</v>
      </c>
    </row>
    <row r="172" spans="1:7" x14ac:dyDescent="0.2">
      <c r="A172" s="1">
        <v>45287</v>
      </c>
      <c r="B172">
        <v>39.342528999999999</v>
      </c>
      <c r="C172">
        <v>39.698391000000001</v>
      </c>
      <c r="D172">
        <v>39.144829000000001</v>
      </c>
      <c r="E172">
        <v>39.698391000000001</v>
      </c>
      <c r="F172">
        <v>39.235743999999997</v>
      </c>
      <c r="G172">
        <v>341177</v>
      </c>
    </row>
    <row r="173" spans="1:7" x14ac:dyDescent="0.2">
      <c r="A173" s="1">
        <v>45288</v>
      </c>
      <c r="B173">
        <v>39.589657000000003</v>
      </c>
      <c r="C173">
        <v>39.807124999999999</v>
      </c>
      <c r="D173">
        <v>39.569884999999999</v>
      </c>
      <c r="E173">
        <v>39.648963999999999</v>
      </c>
      <c r="F173">
        <v>39.186892999999998</v>
      </c>
      <c r="G173">
        <v>287405</v>
      </c>
    </row>
    <row r="174" spans="1:7" x14ac:dyDescent="0.2">
      <c r="A174" s="1">
        <v>45289</v>
      </c>
      <c r="B174">
        <v>39.540230000000001</v>
      </c>
      <c r="C174">
        <v>40.271725000000004</v>
      </c>
      <c r="D174">
        <v>39.540230000000001</v>
      </c>
      <c r="E174">
        <v>39.698391000000001</v>
      </c>
      <c r="F174">
        <v>39.235743999999997</v>
      </c>
      <c r="G174">
        <v>355152</v>
      </c>
    </row>
    <row r="175" spans="1:7" x14ac:dyDescent="0.2">
      <c r="A175" s="1">
        <v>45293</v>
      </c>
      <c r="B175">
        <v>39.817013000000003</v>
      </c>
      <c r="C175">
        <v>40.370575000000002</v>
      </c>
      <c r="D175">
        <v>39.737929999999999</v>
      </c>
      <c r="E175">
        <v>39.886208000000003</v>
      </c>
      <c r="F175">
        <v>39.421371000000001</v>
      </c>
      <c r="G175">
        <v>290881</v>
      </c>
    </row>
    <row r="176" spans="1:7" x14ac:dyDescent="0.2">
      <c r="A176" s="1">
        <v>45294</v>
      </c>
      <c r="B176">
        <v>39.747813999999998</v>
      </c>
      <c r="C176">
        <v>39.846663999999997</v>
      </c>
      <c r="D176">
        <v>38.779079000000003</v>
      </c>
      <c r="E176">
        <v>38.957011999999999</v>
      </c>
      <c r="F176">
        <v>38.503005999999999</v>
      </c>
      <c r="G176">
        <v>698849</v>
      </c>
    </row>
    <row r="177" spans="1:7" x14ac:dyDescent="0.2">
      <c r="A177" s="1">
        <v>45295</v>
      </c>
      <c r="B177">
        <v>38.927357000000001</v>
      </c>
      <c r="C177">
        <v>39.490803</v>
      </c>
      <c r="D177">
        <v>38.927357000000001</v>
      </c>
      <c r="E177">
        <v>39.480919</v>
      </c>
      <c r="F177">
        <v>39.020809</v>
      </c>
      <c r="G177">
        <v>385391</v>
      </c>
    </row>
    <row r="178" spans="1:7" x14ac:dyDescent="0.2">
      <c r="A178" s="1">
        <v>45296</v>
      </c>
      <c r="B178">
        <v>39.144829000000001</v>
      </c>
      <c r="C178">
        <v>39.362296999999998</v>
      </c>
      <c r="D178">
        <v>38.957011999999999</v>
      </c>
      <c r="E178">
        <v>39.243679</v>
      </c>
      <c r="F178">
        <v>38.786330999999997</v>
      </c>
      <c r="G178">
        <v>282147</v>
      </c>
    </row>
    <row r="179" spans="1:7" x14ac:dyDescent="0.2">
      <c r="A179" s="1">
        <v>45299</v>
      </c>
      <c r="B179">
        <v>39.134940999999998</v>
      </c>
      <c r="C179">
        <v>39.569884999999999</v>
      </c>
      <c r="D179">
        <v>38.877929999999999</v>
      </c>
      <c r="E179">
        <v>39.520457999999998</v>
      </c>
      <c r="F179">
        <v>39.059887000000003</v>
      </c>
      <c r="G179">
        <v>310855</v>
      </c>
    </row>
    <row r="180" spans="1:7" x14ac:dyDescent="0.2">
      <c r="A180" s="1">
        <v>45300</v>
      </c>
      <c r="B180">
        <v>39.480919</v>
      </c>
      <c r="C180">
        <v>39.480919</v>
      </c>
      <c r="D180">
        <v>38.779079000000003</v>
      </c>
      <c r="E180">
        <v>39.085518</v>
      </c>
      <c r="F180">
        <v>38.630015999999998</v>
      </c>
      <c r="G180">
        <v>390189</v>
      </c>
    </row>
    <row r="181" spans="1:7" x14ac:dyDescent="0.2">
      <c r="A181" s="1">
        <v>45301</v>
      </c>
      <c r="B181">
        <v>38.907584999999997</v>
      </c>
      <c r="C181">
        <v>39.134940999999998</v>
      </c>
      <c r="D181">
        <v>38.749423999999998</v>
      </c>
      <c r="E181">
        <v>38.976779999999998</v>
      </c>
      <c r="F181">
        <v>38.522545000000001</v>
      </c>
      <c r="G181">
        <v>715126</v>
      </c>
    </row>
    <row r="182" spans="1:7" x14ac:dyDescent="0.2">
      <c r="A182" s="1">
        <v>45302</v>
      </c>
      <c r="B182">
        <v>39.055861999999998</v>
      </c>
      <c r="C182">
        <v>39.391953000000001</v>
      </c>
      <c r="D182">
        <v>38.986668000000002</v>
      </c>
      <c r="E182">
        <v>39.125056999999998</v>
      </c>
      <c r="F182">
        <v>38.669094000000001</v>
      </c>
      <c r="G182">
        <v>353167</v>
      </c>
    </row>
    <row r="183" spans="1:7" x14ac:dyDescent="0.2">
      <c r="A183" s="1">
        <v>45303</v>
      </c>
      <c r="B183">
        <v>39.362296999999998</v>
      </c>
      <c r="C183">
        <v>39.836781000000002</v>
      </c>
      <c r="D183">
        <v>39.362296999999998</v>
      </c>
      <c r="E183">
        <v>39.728045999999999</v>
      </c>
      <c r="F183">
        <v>39.265056999999999</v>
      </c>
      <c r="G183">
        <v>503873</v>
      </c>
    </row>
    <row r="184" spans="1:7" x14ac:dyDescent="0.2">
      <c r="A184" s="1">
        <v>45306</v>
      </c>
      <c r="B184">
        <v>39.589657000000003</v>
      </c>
      <c r="C184">
        <v>39.797241</v>
      </c>
      <c r="D184">
        <v>39.589657000000003</v>
      </c>
      <c r="E184">
        <v>39.797241</v>
      </c>
      <c r="F184">
        <v>39.333443000000003</v>
      </c>
      <c r="G184">
        <v>431243</v>
      </c>
    </row>
    <row r="185" spans="1:7" x14ac:dyDescent="0.2">
      <c r="A185" s="1">
        <v>45307</v>
      </c>
      <c r="B185">
        <v>39.619307999999997</v>
      </c>
      <c r="C185">
        <v>39.619307999999997</v>
      </c>
      <c r="D185">
        <v>39.045979000000003</v>
      </c>
      <c r="E185">
        <v>39.312874000000001</v>
      </c>
      <c r="F185">
        <v>38.854720999999998</v>
      </c>
      <c r="G185">
        <v>484340</v>
      </c>
    </row>
    <row r="186" spans="1:7" x14ac:dyDescent="0.2">
      <c r="A186" s="1">
        <v>45308</v>
      </c>
      <c r="B186">
        <v>38.947124000000002</v>
      </c>
      <c r="C186">
        <v>39.253563</v>
      </c>
      <c r="D186">
        <v>38.749423999999998</v>
      </c>
      <c r="E186">
        <v>39.223906999999997</v>
      </c>
      <c r="F186">
        <v>38.766792000000002</v>
      </c>
      <c r="G186">
        <v>536953</v>
      </c>
    </row>
    <row r="187" spans="1:7" x14ac:dyDescent="0.2">
      <c r="A187" s="1">
        <v>45309</v>
      </c>
      <c r="B187">
        <v>39.223906999999997</v>
      </c>
      <c r="C187">
        <v>39.273335000000003</v>
      </c>
      <c r="D187">
        <v>38.769196000000001</v>
      </c>
      <c r="E187">
        <v>39.214024000000002</v>
      </c>
      <c r="F187">
        <v>38.757022999999997</v>
      </c>
      <c r="G187">
        <v>546641</v>
      </c>
    </row>
    <row r="188" spans="1:7" x14ac:dyDescent="0.2">
      <c r="A188" s="1">
        <v>45310</v>
      </c>
      <c r="B188">
        <v>39.25</v>
      </c>
      <c r="C188">
        <v>39.590000000000003</v>
      </c>
      <c r="D188">
        <v>39.229999999999997</v>
      </c>
      <c r="E188">
        <v>39.439999</v>
      </c>
      <c r="F188">
        <v>39.439999</v>
      </c>
      <c r="G188">
        <v>540515</v>
      </c>
    </row>
    <row r="189" spans="1:7" x14ac:dyDescent="0.2">
      <c r="A189" s="1">
        <v>45313</v>
      </c>
      <c r="B189">
        <v>39.5</v>
      </c>
      <c r="C189">
        <v>39.830002</v>
      </c>
      <c r="D189">
        <v>39.439999</v>
      </c>
      <c r="E189">
        <v>39.75</v>
      </c>
      <c r="F189">
        <v>39.75</v>
      </c>
      <c r="G189">
        <v>325725</v>
      </c>
    </row>
    <row r="190" spans="1:7" x14ac:dyDescent="0.2">
      <c r="A190" s="1">
        <v>45314</v>
      </c>
      <c r="B190">
        <v>39.799999</v>
      </c>
      <c r="C190">
        <v>40.009998000000003</v>
      </c>
      <c r="D190">
        <v>39.080002</v>
      </c>
      <c r="E190">
        <v>39.330002</v>
      </c>
      <c r="F190">
        <v>39.330002</v>
      </c>
      <c r="G190">
        <v>925957</v>
      </c>
    </row>
    <row r="191" spans="1:7" x14ac:dyDescent="0.2">
      <c r="A191" s="1">
        <v>45315</v>
      </c>
      <c r="B191">
        <v>39.549999</v>
      </c>
      <c r="C191">
        <v>39.740001999999997</v>
      </c>
      <c r="D191">
        <v>39.330002</v>
      </c>
      <c r="E191">
        <v>39.659999999999997</v>
      </c>
      <c r="F191">
        <v>39.659999999999997</v>
      </c>
      <c r="G191">
        <v>537626</v>
      </c>
    </row>
    <row r="192" spans="1:7" x14ac:dyDescent="0.2">
      <c r="A192" s="1">
        <v>45316</v>
      </c>
      <c r="B192">
        <v>39.630001</v>
      </c>
      <c r="C192">
        <v>39.659999999999997</v>
      </c>
      <c r="D192">
        <v>39.270000000000003</v>
      </c>
      <c r="E192">
        <v>39.5</v>
      </c>
      <c r="F192">
        <v>39.5</v>
      </c>
      <c r="G192">
        <v>357334</v>
      </c>
    </row>
    <row r="193" spans="1:7" x14ac:dyDescent="0.2">
      <c r="A193" s="1">
        <v>45317</v>
      </c>
      <c r="B193">
        <v>39.479999999999997</v>
      </c>
      <c r="C193">
        <v>39.68</v>
      </c>
      <c r="D193">
        <v>39.32</v>
      </c>
      <c r="E193">
        <v>39.619999</v>
      </c>
      <c r="F193">
        <v>39.619999</v>
      </c>
      <c r="G193">
        <v>420263</v>
      </c>
    </row>
    <row r="194" spans="1:7" x14ac:dyDescent="0.2">
      <c r="A194" s="1">
        <v>45320</v>
      </c>
      <c r="B194">
        <v>39.610000999999997</v>
      </c>
      <c r="C194">
        <v>39.650002000000001</v>
      </c>
      <c r="D194">
        <v>35.470001000000003</v>
      </c>
      <c r="E194">
        <v>35.659999999999997</v>
      </c>
      <c r="F194">
        <v>35.659999999999997</v>
      </c>
      <c r="G194">
        <v>1908660</v>
      </c>
    </row>
    <row r="195" spans="1:7" x14ac:dyDescent="0.2">
      <c r="A195" s="1">
        <v>45321</v>
      </c>
      <c r="B195">
        <v>35.959999000000003</v>
      </c>
      <c r="C195">
        <v>36.349997999999999</v>
      </c>
      <c r="D195">
        <v>35.68</v>
      </c>
      <c r="E195">
        <v>36.240001999999997</v>
      </c>
      <c r="F195">
        <v>36.240001999999997</v>
      </c>
      <c r="G195">
        <v>1032109</v>
      </c>
    </row>
    <row r="196" spans="1:7" x14ac:dyDescent="0.2">
      <c r="A196" s="1">
        <v>45322</v>
      </c>
      <c r="B196">
        <v>36.529998999999997</v>
      </c>
      <c r="C196">
        <v>36.790000999999997</v>
      </c>
      <c r="D196">
        <v>36.110000999999997</v>
      </c>
      <c r="E196">
        <v>36.590000000000003</v>
      </c>
      <c r="F196">
        <v>36.590000000000003</v>
      </c>
      <c r="G196">
        <v>807785</v>
      </c>
    </row>
    <row r="197" spans="1:7" x14ac:dyDescent="0.2">
      <c r="A197" s="1">
        <v>45323</v>
      </c>
      <c r="B197">
        <v>36.439999</v>
      </c>
      <c r="C197">
        <v>37.150002000000001</v>
      </c>
      <c r="D197">
        <v>36.380001</v>
      </c>
      <c r="E197">
        <v>36.610000999999997</v>
      </c>
      <c r="F197">
        <v>36.610000999999997</v>
      </c>
      <c r="G197">
        <v>584543</v>
      </c>
    </row>
    <row r="198" spans="1:7" x14ac:dyDescent="0.2">
      <c r="A198" s="1">
        <v>45324</v>
      </c>
      <c r="B198">
        <v>36.779998999999997</v>
      </c>
      <c r="C198">
        <v>36.979999999999997</v>
      </c>
      <c r="D198">
        <v>36.610000999999997</v>
      </c>
      <c r="E198">
        <v>36.860000999999997</v>
      </c>
      <c r="F198">
        <v>36.860000999999997</v>
      </c>
      <c r="G198">
        <v>485682</v>
      </c>
    </row>
    <row r="199" spans="1:7" x14ac:dyDescent="0.2">
      <c r="A199" s="1">
        <v>45327</v>
      </c>
      <c r="B199">
        <v>36.849997999999999</v>
      </c>
      <c r="C199">
        <v>37.200001</v>
      </c>
      <c r="D199">
        <v>36.459999000000003</v>
      </c>
      <c r="E199">
        <v>36.459999000000003</v>
      </c>
      <c r="F199">
        <v>36.459999000000003</v>
      </c>
      <c r="G199">
        <v>357213</v>
      </c>
    </row>
    <row r="200" spans="1:7" x14ac:dyDescent="0.2">
      <c r="A200" s="1">
        <v>45328</v>
      </c>
      <c r="B200">
        <v>36.700001</v>
      </c>
      <c r="C200">
        <v>36.959999000000003</v>
      </c>
      <c r="D200">
        <v>36.5</v>
      </c>
      <c r="E200">
        <v>36.5</v>
      </c>
      <c r="F200">
        <v>36.5</v>
      </c>
      <c r="G200">
        <v>501552</v>
      </c>
    </row>
    <row r="201" spans="1:7" x14ac:dyDescent="0.2">
      <c r="A201" s="1">
        <v>45329</v>
      </c>
      <c r="B201">
        <v>36.470001000000003</v>
      </c>
      <c r="C201">
        <v>36.630001</v>
      </c>
      <c r="D201">
        <v>36.049999</v>
      </c>
      <c r="E201">
        <v>36.049999</v>
      </c>
      <c r="F201">
        <v>36.049999</v>
      </c>
      <c r="G201">
        <v>464001</v>
      </c>
    </row>
    <row r="202" spans="1:7" x14ac:dyDescent="0.2">
      <c r="A202" s="1">
        <v>45330</v>
      </c>
      <c r="B202">
        <v>36.099997999999999</v>
      </c>
      <c r="C202">
        <v>36.25</v>
      </c>
      <c r="D202">
        <v>35.82</v>
      </c>
      <c r="E202">
        <v>35.939999</v>
      </c>
      <c r="F202">
        <v>35.939999</v>
      </c>
      <c r="G202">
        <v>402137</v>
      </c>
    </row>
    <row r="203" spans="1:7" x14ac:dyDescent="0.2">
      <c r="A203" s="1">
        <v>45331</v>
      </c>
      <c r="B203">
        <v>35.939999</v>
      </c>
      <c r="C203">
        <v>36.159999999999997</v>
      </c>
      <c r="D203">
        <v>35.580002</v>
      </c>
      <c r="E203">
        <v>35.729999999999997</v>
      </c>
      <c r="F203">
        <v>35.729999999999997</v>
      </c>
      <c r="G203">
        <v>708826</v>
      </c>
    </row>
    <row r="204" spans="1:7" x14ac:dyDescent="0.2">
      <c r="A204" s="1">
        <v>45334</v>
      </c>
      <c r="B204">
        <v>35.919998</v>
      </c>
      <c r="C204">
        <v>36.229999999999997</v>
      </c>
      <c r="D204">
        <v>35.869999</v>
      </c>
      <c r="E204">
        <v>36.209999000000003</v>
      </c>
      <c r="F204">
        <v>36.209999000000003</v>
      </c>
      <c r="G204">
        <v>290839</v>
      </c>
    </row>
    <row r="205" spans="1:7" x14ac:dyDescent="0.2">
      <c r="A205" s="1">
        <v>45335</v>
      </c>
      <c r="B205">
        <v>36.139999000000003</v>
      </c>
      <c r="C205">
        <v>36.650002000000001</v>
      </c>
      <c r="D205">
        <v>36.119999</v>
      </c>
      <c r="E205">
        <v>36.389999000000003</v>
      </c>
      <c r="F205">
        <v>36.389999000000003</v>
      </c>
      <c r="G205">
        <v>342647</v>
      </c>
    </row>
    <row r="206" spans="1:7" x14ac:dyDescent="0.2">
      <c r="A206" s="1">
        <v>45336</v>
      </c>
      <c r="B206">
        <v>36.299999</v>
      </c>
      <c r="C206">
        <v>36.689999</v>
      </c>
      <c r="D206">
        <v>36.270000000000003</v>
      </c>
      <c r="E206">
        <v>36.509998000000003</v>
      </c>
      <c r="F206">
        <v>36.509998000000003</v>
      </c>
      <c r="G206">
        <v>361111</v>
      </c>
    </row>
    <row r="207" spans="1:7" x14ac:dyDescent="0.2">
      <c r="A207" s="1">
        <v>45337</v>
      </c>
      <c r="B207">
        <v>36.799999</v>
      </c>
      <c r="C207">
        <v>37.299999</v>
      </c>
      <c r="D207">
        <v>36.740001999999997</v>
      </c>
      <c r="E207">
        <v>36.93</v>
      </c>
      <c r="F207">
        <v>36.93</v>
      </c>
      <c r="G207">
        <v>501933</v>
      </c>
    </row>
    <row r="208" spans="1:7" x14ac:dyDescent="0.2">
      <c r="A208" s="1">
        <v>45338</v>
      </c>
      <c r="B208">
        <v>37.130001</v>
      </c>
      <c r="C208">
        <v>37.189999</v>
      </c>
      <c r="D208">
        <v>36.220001000000003</v>
      </c>
      <c r="E208">
        <v>36.389999000000003</v>
      </c>
      <c r="F208">
        <v>36.389999000000003</v>
      </c>
      <c r="G208">
        <v>565199</v>
      </c>
    </row>
    <row r="209" spans="1:7" x14ac:dyDescent="0.2">
      <c r="A209" s="1">
        <v>45341</v>
      </c>
      <c r="B209">
        <v>36.349997999999999</v>
      </c>
      <c r="C209">
        <v>36.68</v>
      </c>
      <c r="D209">
        <v>36.32</v>
      </c>
      <c r="E209">
        <v>36.450001</v>
      </c>
      <c r="F209">
        <v>36.450001</v>
      </c>
      <c r="G209">
        <v>325390</v>
      </c>
    </row>
    <row r="210" spans="1:7" x14ac:dyDescent="0.2">
      <c r="A210" s="1">
        <v>45342</v>
      </c>
      <c r="B210">
        <v>36.380001</v>
      </c>
      <c r="C210">
        <v>37.139999000000003</v>
      </c>
      <c r="D210">
        <v>36.380001</v>
      </c>
      <c r="E210">
        <v>36.630001</v>
      </c>
      <c r="F210">
        <v>36.630001</v>
      </c>
      <c r="G210">
        <v>452743</v>
      </c>
    </row>
    <row r="211" spans="1:7" x14ac:dyDescent="0.2">
      <c r="A211" s="1">
        <v>45343</v>
      </c>
      <c r="B211">
        <v>36.5</v>
      </c>
      <c r="C211">
        <v>36.799999</v>
      </c>
      <c r="D211">
        <v>36.5</v>
      </c>
      <c r="E211">
        <v>36.729999999999997</v>
      </c>
      <c r="F211">
        <v>36.729999999999997</v>
      </c>
      <c r="G211">
        <v>354903</v>
      </c>
    </row>
    <row r="212" spans="1:7" x14ac:dyDescent="0.2">
      <c r="A212" s="1">
        <v>45344</v>
      </c>
      <c r="B212">
        <v>36.900002000000001</v>
      </c>
      <c r="C212">
        <v>37.540000999999997</v>
      </c>
      <c r="D212">
        <v>36.900002000000001</v>
      </c>
      <c r="E212">
        <v>37.07</v>
      </c>
      <c r="F212">
        <v>37.07</v>
      </c>
      <c r="G212">
        <v>1183510</v>
      </c>
    </row>
    <row r="213" spans="1:7" x14ac:dyDescent="0.2">
      <c r="A213" s="1">
        <v>45345</v>
      </c>
      <c r="B213">
        <v>37.18</v>
      </c>
      <c r="C213">
        <v>37.389999000000003</v>
      </c>
      <c r="D213">
        <v>36.950001</v>
      </c>
      <c r="E213">
        <v>37.159999999999997</v>
      </c>
      <c r="F213">
        <v>37.159999999999997</v>
      </c>
      <c r="G213">
        <v>339053</v>
      </c>
    </row>
    <row r="214" spans="1:7" x14ac:dyDescent="0.2">
      <c r="A214" s="1">
        <v>45348</v>
      </c>
      <c r="B214">
        <v>37</v>
      </c>
      <c r="C214">
        <v>37.209999000000003</v>
      </c>
      <c r="D214">
        <v>36.810001</v>
      </c>
      <c r="E214">
        <v>36.939999</v>
      </c>
      <c r="F214">
        <v>36.939999</v>
      </c>
      <c r="G214">
        <v>368071</v>
      </c>
    </row>
    <row r="215" spans="1:7" x14ac:dyDescent="0.2">
      <c r="A215" s="1">
        <v>45349</v>
      </c>
      <c r="B215">
        <v>36.860000999999997</v>
      </c>
      <c r="C215">
        <v>37.68</v>
      </c>
      <c r="D215">
        <v>36.860000999999997</v>
      </c>
      <c r="E215">
        <v>37.529998999999997</v>
      </c>
      <c r="F215">
        <v>37.529998999999997</v>
      </c>
      <c r="G215">
        <v>433339</v>
      </c>
    </row>
    <row r="216" spans="1:7" x14ac:dyDescent="0.2">
      <c r="A216" s="1">
        <v>45350</v>
      </c>
      <c r="B216">
        <v>37.389999000000003</v>
      </c>
      <c r="C216">
        <v>37.790000999999997</v>
      </c>
      <c r="D216">
        <v>37.240001999999997</v>
      </c>
      <c r="E216">
        <v>37.770000000000003</v>
      </c>
      <c r="F216">
        <v>37.770000000000003</v>
      </c>
      <c r="G216">
        <v>485478</v>
      </c>
    </row>
    <row r="217" spans="1:7" x14ac:dyDescent="0.2">
      <c r="A217" s="1">
        <v>45351</v>
      </c>
      <c r="B217">
        <v>37.150002000000001</v>
      </c>
      <c r="C217">
        <v>38.200001</v>
      </c>
      <c r="D217">
        <v>37.130001</v>
      </c>
      <c r="E217">
        <v>37.939999</v>
      </c>
      <c r="F217">
        <v>37.939999</v>
      </c>
      <c r="G217">
        <v>1547166</v>
      </c>
    </row>
    <row r="218" spans="1:7" x14ac:dyDescent="0.2">
      <c r="A218" s="1">
        <v>45352</v>
      </c>
      <c r="B218">
        <v>36.860000999999997</v>
      </c>
      <c r="C218">
        <v>37.290000999999997</v>
      </c>
      <c r="D218">
        <v>35.299999</v>
      </c>
      <c r="E218">
        <v>37.130001</v>
      </c>
      <c r="F218">
        <v>37.130001</v>
      </c>
      <c r="G218">
        <v>1985588</v>
      </c>
    </row>
    <row r="219" spans="1:7" x14ac:dyDescent="0.2">
      <c r="A219" s="1">
        <v>45355</v>
      </c>
      <c r="B219">
        <v>37.009998000000003</v>
      </c>
      <c r="C219">
        <v>38</v>
      </c>
      <c r="D219">
        <v>36.93</v>
      </c>
      <c r="E219">
        <v>37.740001999999997</v>
      </c>
      <c r="F219">
        <v>37.740001999999997</v>
      </c>
      <c r="G219">
        <v>597086</v>
      </c>
    </row>
    <row r="220" spans="1:7" x14ac:dyDescent="0.2">
      <c r="A220" s="1">
        <v>45356</v>
      </c>
      <c r="B220">
        <v>37.68</v>
      </c>
      <c r="C220">
        <v>38.189999</v>
      </c>
      <c r="D220">
        <v>37.490001999999997</v>
      </c>
      <c r="E220">
        <v>38</v>
      </c>
      <c r="F220">
        <v>38</v>
      </c>
      <c r="G220">
        <v>436140</v>
      </c>
    </row>
    <row r="221" spans="1:7" x14ac:dyDescent="0.2">
      <c r="A221" s="1">
        <v>45357</v>
      </c>
      <c r="B221">
        <v>37.830002</v>
      </c>
      <c r="C221">
        <v>38.599997999999999</v>
      </c>
      <c r="D221">
        <v>37.729999999999997</v>
      </c>
      <c r="E221">
        <v>38.5</v>
      </c>
      <c r="F221">
        <v>38.5</v>
      </c>
      <c r="G221">
        <v>482836</v>
      </c>
    </row>
    <row r="222" spans="1:7" x14ac:dyDescent="0.2">
      <c r="A222" s="1">
        <v>45358</v>
      </c>
      <c r="B222">
        <v>38.5</v>
      </c>
      <c r="C222">
        <v>39.43</v>
      </c>
      <c r="D222">
        <v>38.459999000000003</v>
      </c>
      <c r="E222">
        <v>39.150002000000001</v>
      </c>
      <c r="F222">
        <v>39.150002000000001</v>
      </c>
      <c r="G222">
        <v>695585</v>
      </c>
    </row>
    <row r="223" spans="1:7" x14ac:dyDescent="0.2">
      <c r="A223" s="1">
        <v>45359</v>
      </c>
      <c r="B223">
        <v>39.189999</v>
      </c>
      <c r="C223">
        <v>39.340000000000003</v>
      </c>
      <c r="D223">
        <v>38.68</v>
      </c>
      <c r="E223">
        <v>39.07</v>
      </c>
      <c r="F223">
        <v>39.07</v>
      </c>
      <c r="G223">
        <v>481138</v>
      </c>
    </row>
    <row r="224" spans="1:7" x14ac:dyDescent="0.2">
      <c r="A224" s="1">
        <v>45362</v>
      </c>
      <c r="B224">
        <v>38.849997999999999</v>
      </c>
      <c r="C224">
        <v>39.169998</v>
      </c>
      <c r="D224">
        <v>38.630001</v>
      </c>
      <c r="E224">
        <v>38.770000000000003</v>
      </c>
      <c r="F224">
        <v>38.770000000000003</v>
      </c>
      <c r="G224">
        <v>478229</v>
      </c>
    </row>
    <row r="225" spans="1:7" x14ac:dyDescent="0.2">
      <c r="A225" s="1">
        <v>45363</v>
      </c>
      <c r="B225">
        <v>38.729999999999997</v>
      </c>
      <c r="C225">
        <v>39.150002000000001</v>
      </c>
      <c r="D225">
        <v>38.729999999999997</v>
      </c>
      <c r="E225">
        <v>39.040000999999997</v>
      </c>
      <c r="F225">
        <v>39.040000999999997</v>
      </c>
      <c r="G225">
        <v>587569</v>
      </c>
    </row>
    <row r="226" spans="1:7" x14ac:dyDescent="0.2">
      <c r="A226" s="1">
        <v>45364</v>
      </c>
      <c r="B226">
        <v>39.049999</v>
      </c>
      <c r="C226">
        <v>40.020000000000003</v>
      </c>
      <c r="D226">
        <v>38.82</v>
      </c>
      <c r="E226">
        <v>39.93</v>
      </c>
      <c r="F226">
        <v>39.93</v>
      </c>
      <c r="G226">
        <v>785867</v>
      </c>
    </row>
    <row r="227" spans="1:7" x14ac:dyDescent="0.2">
      <c r="A227" s="1">
        <v>45365</v>
      </c>
      <c r="B227">
        <v>39.950001</v>
      </c>
      <c r="C227">
        <v>40.630001</v>
      </c>
      <c r="D227">
        <v>39.880001</v>
      </c>
      <c r="E227">
        <v>40.119999</v>
      </c>
      <c r="F227">
        <v>40.119999</v>
      </c>
      <c r="G227">
        <v>778639</v>
      </c>
    </row>
    <row r="228" spans="1:7" x14ac:dyDescent="0.2">
      <c r="A228" s="1">
        <v>45366</v>
      </c>
      <c r="B228">
        <v>39.979999999999997</v>
      </c>
      <c r="C228">
        <v>40.130001</v>
      </c>
      <c r="D228">
        <v>39.450001</v>
      </c>
      <c r="E228">
        <v>39.860000999999997</v>
      </c>
      <c r="F228">
        <v>39.860000999999997</v>
      </c>
      <c r="G228">
        <v>6415432</v>
      </c>
    </row>
    <row r="229" spans="1:7" x14ac:dyDescent="0.2">
      <c r="A229" s="1">
        <v>45369</v>
      </c>
      <c r="B229">
        <v>40</v>
      </c>
      <c r="C229">
        <v>40.240001999999997</v>
      </c>
      <c r="D229">
        <v>39.75</v>
      </c>
      <c r="E229">
        <v>40.139999000000003</v>
      </c>
      <c r="F229">
        <v>40.139999000000003</v>
      </c>
      <c r="G229">
        <v>426122</v>
      </c>
    </row>
    <row r="230" spans="1:7" x14ac:dyDescent="0.2">
      <c r="A230" s="1">
        <v>45370</v>
      </c>
      <c r="B230">
        <v>39.549999</v>
      </c>
      <c r="C230">
        <v>39.82</v>
      </c>
      <c r="D230">
        <v>39.080002</v>
      </c>
      <c r="E230">
        <v>39.700001</v>
      </c>
      <c r="F230">
        <v>39.700001</v>
      </c>
      <c r="G230">
        <v>759209</v>
      </c>
    </row>
    <row r="231" spans="1:7" x14ac:dyDescent="0.2">
      <c r="A231" s="1">
        <v>45371</v>
      </c>
      <c r="B231">
        <v>39.700001</v>
      </c>
      <c r="C231">
        <v>40.459999000000003</v>
      </c>
      <c r="D231">
        <v>39.639999000000003</v>
      </c>
      <c r="E231">
        <v>40.349997999999999</v>
      </c>
      <c r="F231">
        <v>40.349997999999999</v>
      </c>
      <c r="G231">
        <v>447671</v>
      </c>
    </row>
    <row r="232" spans="1:7" x14ac:dyDescent="0.2">
      <c r="A232" s="1">
        <v>45372</v>
      </c>
      <c r="B232">
        <v>40.5</v>
      </c>
      <c r="C232">
        <v>40.650002000000001</v>
      </c>
      <c r="D232">
        <v>40.229999999999997</v>
      </c>
      <c r="E232">
        <v>40.590000000000003</v>
      </c>
      <c r="F232">
        <v>40.590000000000003</v>
      </c>
      <c r="G232">
        <v>444803</v>
      </c>
    </row>
    <row r="233" spans="1:7" x14ac:dyDescent="0.2">
      <c r="A233" s="1">
        <v>45373</v>
      </c>
      <c r="B233">
        <v>40.580002</v>
      </c>
      <c r="C233">
        <v>40.740001999999997</v>
      </c>
      <c r="D233">
        <v>40.369999</v>
      </c>
      <c r="E233">
        <v>40.459999000000003</v>
      </c>
      <c r="F233">
        <v>40.459999000000003</v>
      </c>
      <c r="G233">
        <v>223564</v>
      </c>
    </row>
    <row r="234" spans="1:7" x14ac:dyDescent="0.2">
      <c r="A234" s="1">
        <v>45376</v>
      </c>
      <c r="B234">
        <v>40.490001999999997</v>
      </c>
      <c r="C234">
        <v>40.520000000000003</v>
      </c>
      <c r="D234">
        <v>40.07</v>
      </c>
      <c r="E234">
        <v>40.07</v>
      </c>
      <c r="F234">
        <v>40.07</v>
      </c>
      <c r="G234">
        <v>398379</v>
      </c>
    </row>
    <row r="235" spans="1:7" x14ac:dyDescent="0.2">
      <c r="A235" s="1">
        <v>45377</v>
      </c>
      <c r="B235">
        <v>40.07</v>
      </c>
      <c r="C235">
        <v>40.349997999999999</v>
      </c>
      <c r="D235">
        <v>39.970001000000003</v>
      </c>
      <c r="E235">
        <v>40</v>
      </c>
      <c r="F235">
        <v>40</v>
      </c>
      <c r="G235">
        <v>295271</v>
      </c>
    </row>
    <row r="236" spans="1:7" x14ac:dyDescent="0.2">
      <c r="A236" s="1">
        <v>45378</v>
      </c>
      <c r="B236">
        <v>40.040000999999997</v>
      </c>
      <c r="C236">
        <v>40.450001</v>
      </c>
      <c r="D236">
        <v>40.040000999999997</v>
      </c>
      <c r="E236">
        <v>40.040000999999997</v>
      </c>
      <c r="F236">
        <v>40.040000999999997</v>
      </c>
      <c r="G236">
        <v>1154967</v>
      </c>
    </row>
    <row r="237" spans="1:7" x14ac:dyDescent="0.2">
      <c r="A237" s="1">
        <v>45379</v>
      </c>
      <c r="B237">
        <v>39</v>
      </c>
      <c r="C237">
        <v>39</v>
      </c>
      <c r="D237">
        <v>38.220001000000003</v>
      </c>
      <c r="E237">
        <v>38.779998999999997</v>
      </c>
      <c r="F237">
        <v>38.779998999999997</v>
      </c>
      <c r="G237">
        <v>1225873</v>
      </c>
    </row>
    <row r="238" spans="1:7" x14ac:dyDescent="0.2">
      <c r="A238" s="1">
        <v>45384</v>
      </c>
      <c r="B238">
        <v>38.779998999999997</v>
      </c>
      <c r="C238">
        <v>39.139999000000003</v>
      </c>
      <c r="D238">
        <v>38.360000999999997</v>
      </c>
      <c r="E238">
        <v>38.479999999999997</v>
      </c>
      <c r="F238">
        <v>38.479999999999997</v>
      </c>
      <c r="G238">
        <v>776218</v>
      </c>
    </row>
    <row r="239" spans="1:7" x14ac:dyDescent="0.2">
      <c r="A239" s="1">
        <v>45385</v>
      </c>
      <c r="B239">
        <v>38.400002000000001</v>
      </c>
      <c r="C239">
        <v>38.720001000000003</v>
      </c>
      <c r="D239">
        <v>38.020000000000003</v>
      </c>
      <c r="E239">
        <v>38.720001000000003</v>
      </c>
      <c r="F239">
        <v>38.720001000000003</v>
      </c>
      <c r="G239">
        <v>621734</v>
      </c>
    </row>
    <row r="240" spans="1:7" x14ac:dyDescent="0.2">
      <c r="A240" s="1">
        <v>45386</v>
      </c>
      <c r="B240">
        <v>38.740001999999997</v>
      </c>
      <c r="C240">
        <v>38.740001999999997</v>
      </c>
      <c r="D240">
        <v>38.200001</v>
      </c>
      <c r="E240">
        <v>38.240001999999997</v>
      </c>
      <c r="F240">
        <v>38.240001999999997</v>
      </c>
      <c r="G240">
        <v>625527</v>
      </c>
    </row>
    <row r="241" spans="1:7" x14ac:dyDescent="0.2">
      <c r="A241" s="1">
        <v>45387</v>
      </c>
      <c r="B241">
        <v>38</v>
      </c>
      <c r="C241">
        <v>38.240001999999997</v>
      </c>
      <c r="D241">
        <v>37.479999999999997</v>
      </c>
      <c r="E241">
        <v>37.900002000000001</v>
      </c>
      <c r="F241">
        <v>37.900002000000001</v>
      </c>
      <c r="G241">
        <v>714831</v>
      </c>
    </row>
    <row r="242" spans="1:7" x14ac:dyDescent="0.2">
      <c r="A242" s="1">
        <v>45390</v>
      </c>
      <c r="B242">
        <v>37.880001</v>
      </c>
      <c r="C242">
        <v>38.060001</v>
      </c>
      <c r="D242">
        <v>37.700001</v>
      </c>
      <c r="E242">
        <v>37.880001</v>
      </c>
      <c r="F242">
        <v>37.880001</v>
      </c>
      <c r="G242">
        <v>269895</v>
      </c>
    </row>
    <row r="243" spans="1:7" x14ac:dyDescent="0.2">
      <c r="A243" s="1">
        <v>45391</v>
      </c>
      <c r="B243">
        <v>37.82</v>
      </c>
      <c r="C243">
        <v>37.880001</v>
      </c>
      <c r="D243">
        <v>37.520000000000003</v>
      </c>
      <c r="E243">
        <v>37.779998999999997</v>
      </c>
      <c r="F243">
        <v>37.779998999999997</v>
      </c>
      <c r="G243">
        <v>523184</v>
      </c>
    </row>
    <row r="244" spans="1:7" x14ac:dyDescent="0.2">
      <c r="A244" s="1">
        <v>45392</v>
      </c>
      <c r="B244">
        <v>37.799999</v>
      </c>
      <c r="C244">
        <v>38.040000999999997</v>
      </c>
      <c r="D244">
        <v>37.400002000000001</v>
      </c>
      <c r="E244">
        <v>37.540000999999997</v>
      </c>
      <c r="F244">
        <v>37.540000999999997</v>
      </c>
      <c r="G244">
        <v>808094</v>
      </c>
    </row>
    <row r="245" spans="1:7" x14ac:dyDescent="0.2">
      <c r="A245" s="1">
        <v>45393</v>
      </c>
      <c r="B245">
        <v>37.619999</v>
      </c>
      <c r="C245">
        <v>37.840000000000003</v>
      </c>
      <c r="D245">
        <v>37.299999</v>
      </c>
      <c r="E245">
        <v>37.599997999999999</v>
      </c>
      <c r="F245">
        <v>37.599997999999999</v>
      </c>
      <c r="G245">
        <v>1152745</v>
      </c>
    </row>
    <row r="246" spans="1:7" x14ac:dyDescent="0.2">
      <c r="A246" s="1">
        <v>45394</v>
      </c>
      <c r="B246">
        <v>37.840000000000003</v>
      </c>
      <c r="C246">
        <v>38.360000999999997</v>
      </c>
      <c r="D246">
        <v>37.720001000000003</v>
      </c>
      <c r="E246">
        <v>37.919998</v>
      </c>
      <c r="F246">
        <v>37.919998</v>
      </c>
      <c r="G246">
        <v>398019</v>
      </c>
    </row>
    <row r="247" spans="1:7" x14ac:dyDescent="0.2">
      <c r="A247" s="1">
        <v>45397</v>
      </c>
      <c r="B247">
        <v>37.799999</v>
      </c>
      <c r="C247">
        <v>38.159999999999997</v>
      </c>
      <c r="D247">
        <v>37.540000999999997</v>
      </c>
      <c r="E247">
        <v>37.639999000000003</v>
      </c>
      <c r="F247">
        <v>37.639999000000003</v>
      </c>
      <c r="G247">
        <v>485452</v>
      </c>
    </row>
    <row r="248" spans="1:7" x14ac:dyDescent="0.2">
      <c r="A248" s="1">
        <v>45398</v>
      </c>
      <c r="B248">
        <v>37.400002000000001</v>
      </c>
      <c r="C248">
        <v>38.220001000000003</v>
      </c>
      <c r="D248">
        <v>37.32</v>
      </c>
      <c r="E248">
        <v>38.139999000000003</v>
      </c>
      <c r="F248">
        <v>38.139999000000003</v>
      </c>
      <c r="G248">
        <v>584168</v>
      </c>
    </row>
    <row r="249" spans="1:7" x14ac:dyDescent="0.2">
      <c r="A249" s="1">
        <v>45399</v>
      </c>
      <c r="B249">
        <v>37.919998</v>
      </c>
      <c r="C249">
        <v>39.040000999999997</v>
      </c>
      <c r="D249">
        <v>37.919998</v>
      </c>
      <c r="E249">
        <v>38.659999999999997</v>
      </c>
      <c r="F249">
        <v>38.659999999999997</v>
      </c>
      <c r="G249">
        <v>490197</v>
      </c>
    </row>
    <row r="250" spans="1:7" x14ac:dyDescent="0.2">
      <c r="A250" s="1">
        <v>45400</v>
      </c>
      <c r="B250">
        <v>38.799999</v>
      </c>
      <c r="C250">
        <v>39.060001</v>
      </c>
      <c r="D250">
        <v>38.279998999999997</v>
      </c>
      <c r="E250">
        <v>38.279998999999997</v>
      </c>
      <c r="F250">
        <v>38.279998999999997</v>
      </c>
      <c r="G250">
        <v>512271</v>
      </c>
    </row>
    <row r="251" spans="1:7" x14ac:dyDescent="0.2">
      <c r="A251" s="1">
        <v>45401</v>
      </c>
      <c r="B251">
        <v>38.159999999999997</v>
      </c>
      <c r="C251">
        <v>38.360000999999997</v>
      </c>
      <c r="D251">
        <v>37.619999</v>
      </c>
      <c r="E251">
        <v>38.220001000000003</v>
      </c>
      <c r="F251">
        <v>38.220001000000003</v>
      </c>
      <c r="G251">
        <v>342718</v>
      </c>
    </row>
    <row r="252" spans="1:7" x14ac:dyDescent="0.2">
      <c r="A252" s="1">
        <v>45404</v>
      </c>
      <c r="B252">
        <v>38.5</v>
      </c>
      <c r="C252">
        <v>38.720001000000003</v>
      </c>
      <c r="D252">
        <v>38.200001</v>
      </c>
      <c r="E252">
        <v>38.459999000000003</v>
      </c>
      <c r="F252">
        <v>38.459999000000003</v>
      </c>
      <c r="G252">
        <v>342141</v>
      </c>
    </row>
    <row r="253" spans="1:7" x14ac:dyDescent="0.2">
      <c r="A253" s="1">
        <v>45405</v>
      </c>
      <c r="B253">
        <v>38.5</v>
      </c>
      <c r="C253">
        <v>38.900002000000001</v>
      </c>
      <c r="D253">
        <v>38.459999000000003</v>
      </c>
      <c r="E253">
        <v>38.479999999999997</v>
      </c>
      <c r="F253">
        <v>38.479999999999997</v>
      </c>
      <c r="G253">
        <v>391787</v>
      </c>
    </row>
    <row r="254" spans="1:7" x14ac:dyDescent="0.2">
      <c r="A254" s="1">
        <v>45406</v>
      </c>
      <c r="B254">
        <v>38.520000000000003</v>
      </c>
      <c r="C254">
        <v>38.700001</v>
      </c>
      <c r="D254">
        <v>38.220001000000003</v>
      </c>
      <c r="E254">
        <v>38.360000999999997</v>
      </c>
      <c r="F254">
        <v>38.360000999999997</v>
      </c>
      <c r="G254">
        <v>732447</v>
      </c>
    </row>
    <row r="255" spans="1:7" x14ac:dyDescent="0.2">
      <c r="A255" s="1">
        <v>45407</v>
      </c>
      <c r="B255">
        <v>38.479999999999997</v>
      </c>
      <c r="C255">
        <v>38.479999999999997</v>
      </c>
      <c r="D255">
        <v>37.360000999999997</v>
      </c>
      <c r="E255">
        <v>37.700001</v>
      </c>
      <c r="F255">
        <v>37.700001</v>
      </c>
      <c r="G255">
        <v>503456</v>
      </c>
    </row>
    <row r="256" spans="1:7" x14ac:dyDescent="0.2">
      <c r="A256" s="1">
        <v>45408</v>
      </c>
      <c r="B256">
        <v>38.040000999999997</v>
      </c>
      <c r="C256">
        <v>38.080002</v>
      </c>
      <c r="D256">
        <v>37.700001</v>
      </c>
      <c r="E256">
        <v>37.82</v>
      </c>
      <c r="F256">
        <v>37.82</v>
      </c>
      <c r="G256">
        <v>522897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6"/>
  <sheetViews>
    <sheetView workbookViewId="0">
      <selection activeCell="I9" sqref="I9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45044</v>
      </c>
      <c r="B2">
        <v>11.87</v>
      </c>
      <c r="C2">
        <v>11.91</v>
      </c>
      <c r="D2">
        <v>11.685</v>
      </c>
      <c r="E2">
        <v>11.78</v>
      </c>
      <c r="F2">
        <v>11.268416</v>
      </c>
      <c r="G2">
        <v>36476294</v>
      </c>
    </row>
    <row r="3" spans="1:7" x14ac:dyDescent="0.2">
      <c r="A3" s="1">
        <v>45048</v>
      </c>
      <c r="B3">
        <v>11.83</v>
      </c>
      <c r="C3">
        <v>11.835000000000001</v>
      </c>
      <c r="D3">
        <v>11.69</v>
      </c>
      <c r="E3">
        <v>11.755000000000001</v>
      </c>
      <c r="F3">
        <v>11.244502000000001</v>
      </c>
      <c r="G3">
        <v>11557192</v>
      </c>
    </row>
    <row r="4" spans="1:7" x14ac:dyDescent="0.2">
      <c r="A4" s="1">
        <v>45049</v>
      </c>
      <c r="B4">
        <v>11.8</v>
      </c>
      <c r="C4">
        <v>11.83</v>
      </c>
      <c r="D4">
        <v>11.69</v>
      </c>
      <c r="E4">
        <v>11.73</v>
      </c>
      <c r="F4">
        <v>11.220587999999999</v>
      </c>
      <c r="G4">
        <v>10314396</v>
      </c>
    </row>
    <row r="5" spans="1:7" x14ac:dyDescent="0.2">
      <c r="A5" s="1">
        <v>45050</v>
      </c>
      <c r="B5">
        <v>11.675000000000001</v>
      </c>
      <c r="C5">
        <v>11.855</v>
      </c>
      <c r="D5">
        <v>11.615</v>
      </c>
      <c r="E5">
        <v>11.845000000000001</v>
      </c>
      <c r="F5">
        <v>11.330594</v>
      </c>
      <c r="G5">
        <v>9266604</v>
      </c>
    </row>
    <row r="6" spans="1:7" x14ac:dyDescent="0.2">
      <c r="A6" s="1">
        <v>45051</v>
      </c>
      <c r="B6">
        <v>11.895</v>
      </c>
      <c r="C6">
        <v>11.91</v>
      </c>
      <c r="D6">
        <v>11.734999999999999</v>
      </c>
      <c r="E6">
        <v>11.8</v>
      </c>
      <c r="F6">
        <v>11.287547999999999</v>
      </c>
      <c r="G6">
        <v>7838993</v>
      </c>
    </row>
    <row r="7" spans="1:7" x14ac:dyDescent="0.2">
      <c r="A7" s="1">
        <v>45054</v>
      </c>
      <c r="B7">
        <v>11.765000000000001</v>
      </c>
      <c r="C7">
        <v>11.82</v>
      </c>
      <c r="D7">
        <v>11.744999999999999</v>
      </c>
      <c r="E7">
        <v>11.8</v>
      </c>
      <c r="F7">
        <v>11.287547999999999</v>
      </c>
      <c r="G7">
        <v>4459476</v>
      </c>
    </row>
    <row r="8" spans="1:7" x14ac:dyDescent="0.2">
      <c r="A8" s="1">
        <v>45055</v>
      </c>
      <c r="B8">
        <v>11.75</v>
      </c>
      <c r="C8">
        <v>11.79</v>
      </c>
      <c r="D8">
        <v>11.675000000000001</v>
      </c>
      <c r="E8">
        <v>11.79</v>
      </c>
      <c r="F8">
        <v>11.277982</v>
      </c>
      <c r="G8">
        <v>9052544</v>
      </c>
    </row>
    <row r="9" spans="1:7" x14ac:dyDescent="0.2">
      <c r="A9" s="1">
        <v>45056</v>
      </c>
      <c r="B9">
        <v>11.81</v>
      </c>
      <c r="C9">
        <v>11.83</v>
      </c>
      <c r="D9">
        <v>11.725</v>
      </c>
      <c r="E9">
        <v>11.775</v>
      </c>
      <c r="F9">
        <v>11.263634</v>
      </c>
      <c r="G9">
        <v>4704841</v>
      </c>
    </row>
    <row r="10" spans="1:7" x14ac:dyDescent="0.2">
      <c r="A10" s="1">
        <v>45057</v>
      </c>
      <c r="B10">
        <v>11.8</v>
      </c>
      <c r="C10">
        <v>11.824999999999999</v>
      </c>
      <c r="D10">
        <v>11.664999999999999</v>
      </c>
      <c r="E10">
        <v>11.77</v>
      </c>
      <c r="F10">
        <v>11.258851999999999</v>
      </c>
      <c r="G10">
        <v>12893626</v>
      </c>
    </row>
    <row r="11" spans="1:7" x14ac:dyDescent="0.2">
      <c r="A11" s="1">
        <v>45058</v>
      </c>
      <c r="B11">
        <v>11.824999999999999</v>
      </c>
      <c r="C11">
        <v>11.925000000000001</v>
      </c>
      <c r="D11">
        <v>11.815</v>
      </c>
      <c r="E11">
        <v>11.865</v>
      </c>
      <c r="F11">
        <v>11.349724999999999</v>
      </c>
      <c r="G11">
        <v>10668071</v>
      </c>
    </row>
    <row r="12" spans="1:7" x14ac:dyDescent="0.2">
      <c r="A12" s="1">
        <v>45061</v>
      </c>
      <c r="B12">
        <v>11.92</v>
      </c>
      <c r="C12">
        <v>11.92</v>
      </c>
      <c r="D12">
        <v>11.795</v>
      </c>
      <c r="E12">
        <v>11.84</v>
      </c>
      <c r="F12">
        <v>11.325811</v>
      </c>
      <c r="G12">
        <v>6748737</v>
      </c>
    </row>
    <row r="13" spans="1:7" x14ac:dyDescent="0.2">
      <c r="A13" s="1">
        <v>45062</v>
      </c>
      <c r="B13">
        <v>11.88</v>
      </c>
      <c r="C13">
        <v>11.95</v>
      </c>
      <c r="D13">
        <v>11.805</v>
      </c>
      <c r="E13">
        <v>11.845000000000001</v>
      </c>
      <c r="F13">
        <v>11.330594</v>
      </c>
      <c r="G13">
        <v>8405587</v>
      </c>
    </row>
    <row r="14" spans="1:7" x14ac:dyDescent="0.2">
      <c r="A14" s="1">
        <v>45063</v>
      </c>
      <c r="B14">
        <v>11.8</v>
      </c>
      <c r="C14">
        <v>11.8</v>
      </c>
      <c r="D14">
        <v>11.65</v>
      </c>
      <c r="E14">
        <v>11.66</v>
      </c>
      <c r="F14">
        <v>11.153627</v>
      </c>
      <c r="G14">
        <v>9587046</v>
      </c>
    </row>
    <row r="15" spans="1:7" x14ac:dyDescent="0.2">
      <c r="A15" s="1">
        <v>45064</v>
      </c>
      <c r="B15">
        <v>11.66</v>
      </c>
      <c r="C15">
        <v>11.705</v>
      </c>
      <c r="D15">
        <v>11.49</v>
      </c>
      <c r="E15">
        <v>11.505000000000001</v>
      </c>
      <c r="F15">
        <v>11.005359</v>
      </c>
      <c r="G15">
        <v>10328616</v>
      </c>
    </row>
    <row r="16" spans="1:7" x14ac:dyDescent="0.2">
      <c r="A16" s="1">
        <v>45065</v>
      </c>
      <c r="B16">
        <v>11.53</v>
      </c>
      <c r="C16">
        <v>11.66</v>
      </c>
      <c r="D16">
        <v>11.5</v>
      </c>
      <c r="E16">
        <v>11.63</v>
      </c>
      <c r="F16">
        <v>11.124931</v>
      </c>
      <c r="G16">
        <v>10021557</v>
      </c>
    </row>
    <row r="17" spans="1:7" x14ac:dyDescent="0.2">
      <c r="A17" s="1">
        <v>45068</v>
      </c>
      <c r="B17">
        <v>11.615</v>
      </c>
      <c r="C17">
        <v>11.7</v>
      </c>
      <c r="D17">
        <v>11.605</v>
      </c>
      <c r="E17">
        <v>11.62</v>
      </c>
      <c r="F17">
        <v>11.115365000000001</v>
      </c>
      <c r="G17">
        <v>5619159</v>
      </c>
    </row>
    <row r="18" spans="1:7" x14ac:dyDescent="0.2">
      <c r="A18" s="1">
        <v>45069</v>
      </c>
      <c r="B18">
        <v>11.615</v>
      </c>
      <c r="C18">
        <v>11.725</v>
      </c>
      <c r="D18">
        <v>11.55</v>
      </c>
      <c r="E18">
        <v>11.645</v>
      </c>
      <c r="F18">
        <v>11.139279</v>
      </c>
      <c r="G18">
        <v>5011738</v>
      </c>
    </row>
    <row r="19" spans="1:7" x14ac:dyDescent="0.2">
      <c r="A19" s="1">
        <v>45070</v>
      </c>
      <c r="B19">
        <v>11.565</v>
      </c>
      <c r="C19">
        <v>11.615</v>
      </c>
      <c r="D19">
        <v>11.5</v>
      </c>
      <c r="E19">
        <v>11.6</v>
      </c>
      <c r="F19">
        <v>11.096233</v>
      </c>
      <c r="G19">
        <v>11236733</v>
      </c>
    </row>
    <row r="20" spans="1:7" x14ac:dyDescent="0.2">
      <c r="A20" s="1">
        <v>45071</v>
      </c>
      <c r="B20">
        <v>11.585000000000001</v>
      </c>
      <c r="C20">
        <v>11.615</v>
      </c>
      <c r="D20">
        <v>11.365</v>
      </c>
      <c r="E20">
        <v>11.385</v>
      </c>
      <c r="F20">
        <v>10.890571</v>
      </c>
      <c r="G20">
        <v>10685297</v>
      </c>
    </row>
    <row r="21" spans="1:7" x14ac:dyDescent="0.2">
      <c r="A21" s="1">
        <v>45072</v>
      </c>
      <c r="B21">
        <v>11.37</v>
      </c>
      <c r="C21">
        <v>11.535</v>
      </c>
      <c r="D21">
        <v>11.29</v>
      </c>
      <c r="E21">
        <v>11.49</v>
      </c>
      <c r="F21">
        <v>10.991011</v>
      </c>
      <c r="G21">
        <v>8143393</v>
      </c>
    </row>
    <row r="22" spans="1:7" x14ac:dyDescent="0.2">
      <c r="A22" s="1">
        <v>45075</v>
      </c>
      <c r="B22">
        <v>11.58</v>
      </c>
      <c r="C22">
        <v>11.61</v>
      </c>
      <c r="D22">
        <v>11.44</v>
      </c>
      <c r="E22">
        <v>11.46</v>
      </c>
      <c r="F22">
        <v>10.962313999999999</v>
      </c>
      <c r="G22">
        <v>4360519</v>
      </c>
    </row>
    <row r="23" spans="1:7" x14ac:dyDescent="0.2">
      <c r="A23" s="1">
        <v>45076</v>
      </c>
      <c r="B23">
        <v>11.47</v>
      </c>
      <c r="C23">
        <v>11.574999999999999</v>
      </c>
      <c r="D23">
        <v>11.46</v>
      </c>
      <c r="E23">
        <v>11.494999999999999</v>
      </c>
      <c r="F23">
        <v>10.995793000000001</v>
      </c>
      <c r="G23">
        <v>7016782</v>
      </c>
    </row>
    <row r="24" spans="1:7" x14ac:dyDescent="0.2">
      <c r="A24" s="1">
        <v>45077</v>
      </c>
      <c r="B24">
        <v>11.44</v>
      </c>
      <c r="C24">
        <v>11.59</v>
      </c>
      <c r="D24">
        <v>11.375</v>
      </c>
      <c r="E24">
        <v>11.4</v>
      </c>
      <c r="F24">
        <v>10.904919</v>
      </c>
      <c r="G24">
        <v>39493408</v>
      </c>
    </row>
    <row r="25" spans="1:7" x14ac:dyDescent="0.2">
      <c r="A25" s="1">
        <v>45078</v>
      </c>
      <c r="B25">
        <v>11.45</v>
      </c>
      <c r="C25">
        <v>11.535</v>
      </c>
      <c r="D25">
        <v>11.414999999999999</v>
      </c>
      <c r="E25">
        <v>11.51</v>
      </c>
      <c r="F25">
        <v>11.010142</v>
      </c>
      <c r="G25">
        <v>4864201</v>
      </c>
    </row>
    <row r="26" spans="1:7" x14ac:dyDescent="0.2">
      <c r="A26" s="1">
        <v>45079</v>
      </c>
      <c r="B26">
        <v>11.5</v>
      </c>
      <c r="C26">
        <v>11.59</v>
      </c>
      <c r="D26">
        <v>11.395</v>
      </c>
      <c r="E26">
        <v>11.58</v>
      </c>
      <c r="F26">
        <v>11.077102</v>
      </c>
      <c r="G26">
        <v>7423905</v>
      </c>
    </row>
    <row r="27" spans="1:7" x14ac:dyDescent="0.2">
      <c r="A27" s="1">
        <v>45082</v>
      </c>
      <c r="B27">
        <v>11.595000000000001</v>
      </c>
      <c r="C27">
        <v>11.64</v>
      </c>
      <c r="D27">
        <v>11.55</v>
      </c>
      <c r="E27">
        <v>11.57</v>
      </c>
      <c r="F27">
        <v>11.067536</v>
      </c>
      <c r="G27">
        <v>14759433</v>
      </c>
    </row>
    <row r="28" spans="1:7" x14ac:dyDescent="0.2">
      <c r="A28" s="1">
        <v>45083</v>
      </c>
      <c r="B28">
        <v>11.57</v>
      </c>
      <c r="C28">
        <v>11.685</v>
      </c>
      <c r="D28">
        <v>11.57</v>
      </c>
      <c r="E28">
        <v>11.685</v>
      </c>
      <c r="F28">
        <v>11.177543</v>
      </c>
      <c r="G28">
        <v>5387921</v>
      </c>
    </row>
    <row r="29" spans="1:7" x14ac:dyDescent="0.2">
      <c r="A29" s="1">
        <v>45084</v>
      </c>
      <c r="B29">
        <v>11.64</v>
      </c>
      <c r="C29">
        <v>11.7</v>
      </c>
      <c r="D29">
        <v>11.51</v>
      </c>
      <c r="E29">
        <v>11.53</v>
      </c>
      <c r="F29">
        <v>11.029273</v>
      </c>
      <c r="G29">
        <v>5867640</v>
      </c>
    </row>
    <row r="30" spans="1:7" x14ac:dyDescent="0.2">
      <c r="A30" s="1">
        <v>45085</v>
      </c>
      <c r="B30">
        <v>11.55</v>
      </c>
      <c r="C30">
        <v>11.6</v>
      </c>
      <c r="D30">
        <v>11.445</v>
      </c>
      <c r="E30">
        <v>11.445</v>
      </c>
      <c r="F30">
        <v>10.947965</v>
      </c>
      <c r="G30">
        <v>8026474</v>
      </c>
    </row>
    <row r="31" spans="1:7" x14ac:dyDescent="0.2">
      <c r="A31" s="1">
        <v>45086</v>
      </c>
      <c r="B31">
        <v>11.465</v>
      </c>
      <c r="C31">
        <v>11.54</v>
      </c>
      <c r="D31">
        <v>11.445</v>
      </c>
      <c r="E31">
        <v>11.494999999999999</v>
      </c>
      <c r="F31">
        <v>10.995793000000001</v>
      </c>
      <c r="G31">
        <v>8653322</v>
      </c>
    </row>
    <row r="32" spans="1:7" x14ac:dyDescent="0.2">
      <c r="A32" s="1">
        <v>45089</v>
      </c>
      <c r="B32">
        <v>11.53</v>
      </c>
      <c r="C32">
        <v>11.595000000000001</v>
      </c>
      <c r="D32">
        <v>11.505000000000001</v>
      </c>
      <c r="E32">
        <v>11.545</v>
      </c>
      <c r="F32">
        <v>11.043621999999999</v>
      </c>
      <c r="G32">
        <v>17924992</v>
      </c>
    </row>
    <row r="33" spans="1:7" x14ac:dyDescent="0.2">
      <c r="A33" s="1">
        <v>45090</v>
      </c>
      <c r="B33">
        <v>11.55</v>
      </c>
      <c r="C33">
        <v>11.555</v>
      </c>
      <c r="D33">
        <v>11.395</v>
      </c>
      <c r="E33">
        <v>11.47</v>
      </c>
      <c r="F33">
        <v>10.971880000000001</v>
      </c>
      <c r="G33">
        <v>7191164</v>
      </c>
    </row>
    <row r="34" spans="1:7" x14ac:dyDescent="0.2">
      <c r="A34" s="1">
        <v>45091</v>
      </c>
      <c r="B34">
        <v>11.475</v>
      </c>
      <c r="C34">
        <v>11.635</v>
      </c>
      <c r="D34">
        <v>11.46</v>
      </c>
      <c r="E34">
        <v>11.57</v>
      </c>
      <c r="F34">
        <v>11.067536</v>
      </c>
      <c r="G34">
        <v>9727043</v>
      </c>
    </row>
    <row r="35" spans="1:7" x14ac:dyDescent="0.2">
      <c r="A35" s="1">
        <v>45092</v>
      </c>
      <c r="B35">
        <v>11.55</v>
      </c>
      <c r="C35">
        <v>11.635</v>
      </c>
      <c r="D35">
        <v>11.465</v>
      </c>
      <c r="E35">
        <v>11.59</v>
      </c>
      <c r="F35">
        <v>11.086668</v>
      </c>
      <c r="G35">
        <v>11593129</v>
      </c>
    </row>
    <row r="36" spans="1:7" x14ac:dyDescent="0.2">
      <c r="A36" s="1">
        <v>45093</v>
      </c>
      <c r="B36">
        <v>11.61</v>
      </c>
      <c r="C36">
        <v>11.96</v>
      </c>
      <c r="D36">
        <v>11.6</v>
      </c>
      <c r="E36">
        <v>11.82</v>
      </c>
      <c r="F36">
        <v>11.30668</v>
      </c>
      <c r="G36">
        <v>27398333</v>
      </c>
    </row>
    <row r="37" spans="1:7" x14ac:dyDescent="0.2">
      <c r="A37" s="1">
        <v>45096</v>
      </c>
      <c r="B37">
        <v>11.81</v>
      </c>
      <c r="C37">
        <v>11.84</v>
      </c>
      <c r="D37">
        <v>11.664999999999999</v>
      </c>
      <c r="E37">
        <v>11.705</v>
      </c>
      <c r="F37">
        <v>11.196673000000001</v>
      </c>
      <c r="G37">
        <v>6374585</v>
      </c>
    </row>
    <row r="38" spans="1:7" x14ac:dyDescent="0.2">
      <c r="A38" s="1">
        <v>45097</v>
      </c>
      <c r="B38">
        <v>11.68</v>
      </c>
      <c r="C38">
        <v>11.994999999999999</v>
      </c>
      <c r="D38">
        <v>11.68</v>
      </c>
      <c r="E38">
        <v>11.945</v>
      </c>
      <c r="F38">
        <v>11.42625</v>
      </c>
      <c r="G38">
        <v>9436564</v>
      </c>
    </row>
    <row r="39" spans="1:7" x14ac:dyDescent="0.2">
      <c r="A39" s="1">
        <v>45098</v>
      </c>
      <c r="B39">
        <v>11.87</v>
      </c>
      <c r="C39">
        <v>11.925000000000001</v>
      </c>
      <c r="D39">
        <v>11.785</v>
      </c>
      <c r="E39">
        <v>11.824999999999999</v>
      </c>
      <c r="F39">
        <v>11.311462000000001</v>
      </c>
      <c r="G39">
        <v>6857687</v>
      </c>
    </row>
    <row r="40" spans="1:7" x14ac:dyDescent="0.2">
      <c r="A40" s="1">
        <v>45099</v>
      </c>
      <c r="B40">
        <v>11.83</v>
      </c>
      <c r="C40">
        <v>11.835000000000001</v>
      </c>
      <c r="D40">
        <v>11.685</v>
      </c>
      <c r="E40">
        <v>11.755000000000001</v>
      </c>
      <c r="F40">
        <v>11.244502000000001</v>
      </c>
      <c r="G40">
        <v>6527540</v>
      </c>
    </row>
    <row r="41" spans="1:7" x14ac:dyDescent="0.2">
      <c r="A41" s="1">
        <v>45100</v>
      </c>
      <c r="B41">
        <v>11.73</v>
      </c>
      <c r="C41">
        <v>11.845000000000001</v>
      </c>
      <c r="D41">
        <v>11.67</v>
      </c>
      <c r="E41">
        <v>11.675000000000001</v>
      </c>
      <c r="F41">
        <v>11.167975999999999</v>
      </c>
      <c r="G41">
        <v>6889285</v>
      </c>
    </row>
    <row r="42" spans="1:7" x14ac:dyDescent="0.2">
      <c r="A42" s="1">
        <v>45103</v>
      </c>
      <c r="B42">
        <v>11.71</v>
      </c>
      <c r="C42">
        <v>11.77</v>
      </c>
      <c r="D42">
        <v>11.625</v>
      </c>
      <c r="E42">
        <v>11.66</v>
      </c>
      <c r="F42">
        <v>11.153627</v>
      </c>
      <c r="G42">
        <v>7370061</v>
      </c>
    </row>
    <row r="43" spans="1:7" x14ac:dyDescent="0.2">
      <c r="A43" s="1">
        <v>45104</v>
      </c>
      <c r="B43">
        <v>11.67</v>
      </c>
      <c r="C43">
        <v>11.82</v>
      </c>
      <c r="D43">
        <v>11.65</v>
      </c>
      <c r="E43">
        <v>11.79</v>
      </c>
      <c r="F43">
        <v>11.277982</v>
      </c>
      <c r="G43">
        <v>6951312</v>
      </c>
    </row>
    <row r="44" spans="1:7" x14ac:dyDescent="0.2">
      <c r="A44" s="1">
        <v>45105</v>
      </c>
      <c r="B44">
        <v>11.835000000000001</v>
      </c>
      <c r="C44">
        <v>11.92</v>
      </c>
      <c r="D44">
        <v>11.8</v>
      </c>
      <c r="E44">
        <v>11.87</v>
      </c>
      <c r="F44">
        <v>11.354507</v>
      </c>
      <c r="G44">
        <v>8001980</v>
      </c>
    </row>
    <row r="45" spans="1:7" x14ac:dyDescent="0.2">
      <c r="A45" s="1">
        <v>45106</v>
      </c>
      <c r="B45">
        <v>11.914999999999999</v>
      </c>
      <c r="C45">
        <v>11.93</v>
      </c>
      <c r="D45">
        <v>11.835000000000001</v>
      </c>
      <c r="E45">
        <v>11.855</v>
      </c>
      <c r="F45">
        <v>11.340158000000001</v>
      </c>
      <c r="G45">
        <v>8063704</v>
      </c>
    </row>
    <row r="46" spans="1:7" x14ac:dyDescent="0.2">
      <c r="A46" s="1">
        <v>45107</v>
      </c>
      <c r="B46">
        <v>11.9</v>
      </c>
      <c r="C46">
        <v>12.065</v>
      </c>
      <c r="D46">
        <v>11.85</v>
      </c>
      <c r="E46">
        <v>11.95</v>
      </c>
      <c r="F46">
        <v>11.431032999999999</v>
      </c>
      <c r="G46">
        <v>22731566</v>
      </c>
    </row>
    <row r="47" spans="1:7" x14ac:dyDescent="0.2">
      <c r="A47" s="1">
        <v>45110</v>
      </c>
      <c r="B47">
        <v>11.98</v>
      </c>
      <c r="C47">
        <v>12.17</v>
      </c>
      <c r="D47">
        <v>11.96</v>
      </c>
      <c r="E47">
        <v>12.145</v>
      </c>
      <c r="F47">
        <v>11.617566</v>
      </c>
      <c r="G47">
        <v>32141858</v>
      </c>
    </row>
    <row r="48" spans="1:7" x14ac:dyDescent="0.2">
      <c r="A48" s="1">
        <v>45111</v>
      </c>
      <c r="B48">
        <v>12.15</v>
      </c>
      <c r="C48">
        <v>12.244999999999999</v>
      </c>
      <c r="D48">
        <v>12.1</v>
      </c>
      <c r="E48">
        <v>12.164999999999999</v>
      </c>
      <c r="F48">
        <v>11.636697</v>
      </c>
      <c r="G48">
        <v>6315405</v>
      </c>
    </row>
    <row r="49" spans="1:7" x14ac:dyDescent="0.2">
      <c r="A49" s="1">
        <v>45112</v>
      </c>
      <c r="B49">
        <v>12.164999999999999</v>
      </c>
      <c r="C49">
        <v>12.18</v>
      </c>
      <c r="D49">
        <v>11.795</v>
      </c>
      <c r="E49">
        <v>11.83</v>
      </c>
      <c r="F49">
        <v>11.316245</v>
      </c>
      <c r="G49">
        <v>14719030</v>
      </c>
    </row>
    <row r="50" spans="1:7" x14ac:dyDescent="0.2">
      <c r="A50" s="1">
        <v>45113</v>
      </c>
      <c r="B50">
        <v>11.715</v>
      </c>
      <c r="C50">
        <v>11.895</v>
      </c>
      <c r="D50">
        <v>11.63</v>
      </c>
      <c r="E50">
        <v>11.685</v>
      </c>
      <c r="F50">
        <v>11.177543</v>
      </c>
      <c r="G50">
        <v>17101803</v>
      </c>
    </row>
    <row r="51" spans="1:7" x14ac:dyDescent="0.2">
      <c r="A51" s="1">
        <v>45114</v>
      </c>
      <c r="B51">
        <v>11.31</v>
      </c>
      <c r="C51">
        <v>11.355</v>
      </c>
      <c r="D51">
        <v>11.16</v>
      </c>
      <c r="E51">
        <v>11.185</v>
      </c>
      <c r="F51">
        <v>10.996641</v>
      </c>
      <c r="G51">
        <v>13264094</v>
      </c>
    </row>
    <row r="52" spans="1:7" x14ac:dyDescent="0.2">
      <c r="A52" s="1">
        <v>45117</v>
      </c>
      <c r="B52">
        <v>11.11</v>
      </c>
      <c r="C52">
        <v>11.18</v>
      </c>
      <c r="D52">
        <v>11.055</v>
      </c>
      <c r="E52">
        <v>11.13</v>
      </c>
      <c r="F52">
        <v>10.942567</v>
      </c>
      <c r="G52">
        <v>16523051</v>
      </c>
    </row>
    <row r="53" spans="1:7" x14ac:dyDescent="0.2">
      <c r="A53" s="1">
        <v>45118</v>
      </c>
      <c r="B53">
        <v>11.19</v>
      </c>
      <c r="C53">
        <v>11.24</v>
      </c>
      <c r="D53">
        <v>11.08</v>
      </c>
      <c r="E53">
        <v>11.13</v>
      </c>
      <c r="F53">
        <v>10.942567</v>
      </c>
      <c r="G53">
        <v>10646460</v>
      </c>
    </row>
    <row r="54" spans="1:7" x14ac:dyDescent="0.2">
      <c r="A54" s="1">
        <v>45119</v>
      </c>
      <c r="B54">
        <v>11.17</v>
      </c>
      <c r="C54">
        <v>11.295</v>
      </c>
      <c r="D54">
        <v>11.125</v>
      </c>
      <c r="E54">
        <v>11.244999999999999</v>
      </c>
      <c r="F54">
        <v>11.055631</v>
      </c>
      <c r="G54">
        <v>31568481</v>
      </c>
    </row>
    <row r="55" spans="1:7" x14ac:dyDescent="0.2">
      <c r="A55" s="1">
        <v>45120</v>
      </c>
      <c r="B55">
        <v>11.3</v>
      </c>
      <c r="C55">
        <v>11.395</v>
      </c>
      <c r="D55">
        <v>11.27</v>
      </c>
      <c r="E55">
        <v>11.35</v>
      </c>
      <c r="F55">
        <v>11.158861999999999</v>
      </c>
      <c r="G55">
        <v>15109122</v>
      </c>
    </row>
    <row r="56" spans="1:7" x14ac:dyDescent="0.2">
      <c r="A56" s="1">
        <v>45121</v>
      </c>
      <c r="B56">
        <v>11.32</v>
      </c>
      <c r="C56">
        <v>11.38</v>
      </c>
      <c r="D56">
        <v>11.29</v>
      </c>
      <c r="E56">
        <v>11.315</v>
      </c>
      <c r="F56">
        <v>11.124451000000001</v>
      </c>
      <c r="G56">
        <v>9583331</v>
      </c>
    </row>
    <row r="57" spans="1:7" x14ac:dyDescent="0.2">
      <c r="A57" s="1">
        <v>45124</v>
      </c>
      <c r="B57">
        <v>11.31</v>
      </c>
      <c r="C57">
        <v>11.335000000000001</v>
      </c>
      <c r="D57">
        <v>11.21</v>
      </c>
      <c r="E57">
        <v>11.22</v>
      </c>
      <c r="F57">
        <v>11.031052000000001</v>
      </c>
      <c r="G57">
        <v>7364602</v>
      </c>
    </row>
    <row r="58" spans="1:7" x14ac:dyDescent="0.2">
      <c r="A58" s="1">
        <v>45125</v>
      </c>
      <c r="B58">
        <v>11.205</v>
      </c>
      <c r="C58">
        <v>11.25</v>
      </c>
      <c r="D58">
        <v>11.15</v>
      </c>
      <c r="E58">
        <v>11.18</v>
      </c>
      <c r="F58">
        <v>10.991725000000001</v>
      </c>
      <c r="G58">
        <v>6096200</v>
      </c>
    </row>
    <row r="59" spans="1:7" x14ac:dyDescent="0.2">
      <c r="A59" s="1">
        <v>45126</v>
      </c>
      <c r="B59">
        <v>11.21</v>
      </c>
      <c r="C59">
        <v>11.285</v>
      </c>
      <c r="D59">
        <v>11.16</v>
      </c>
      <c r="E59">
        <v>11.17</v>
      </c>
      <c r="F59">
        <v>10.981894</v>
      </c>
      <c r="G59">
        <v>6101958</v>
      </c>
    </row>
    <row r="60" spans="1:7" x14ac:dyDescent="0.2">
      <c r="A60" s="1">
        <v>45127</v>
      </c>
      <c r="B60">
        <v>11.21</v>
      </c>
      <c r="C60">
        <v>11.37</v>
      </c>
      <c r="D60">
        <v>11.195</v>
      </c>
      <c r="E60">
        <v>11.36</v>
      </c>
      <c r="F60">
        <v>11.168694</v>
      </c>
      <c r="G60">
        <v>7235608</v>
      </c>
    </row>
    <row r="61" spans="1:7" x14ac:dyDescent="0.2">
      <c r="A61" s="1">
        <v>45128</v>
      </c>
      <c r="B61">
        <v>11.385</v>
      </c>
      <c r="C61">
        <v>11.535</v>
      </c>
      <c r="D61">
        <v>11.385</v>
      </c>
      <c r="E61">
        <v>11.525</v>
      </c>
      <c r="F61">
        <v>11.330914</v>
      </c>
      <c r="G61">
        <v>8798420</v>
      </c>
    </row>
    <row r="62" spans="1:7" x14ac:dyDescent="0.2">
      <c r="A62" s="1">
        <v>45131</v>
      </c>
      <c r="B62">
        <v>11.345000000000001</v>
      </c>
      <c r="C62">
        <v>11.515000000000001</v>
      </c>
      <c r="D62">
        <v>11.32</v>
      </c>
      <c r="E62">
        <v>11.47</v>
      </c>
      <c r="F62">
        <v>11.276840999999999</v>
      </c>
      <c r="G62">
        <v>5093697</v>
      </c>
    </row>
    <row r="63" spans="1:7" x14ac:dyDescent="0.2">
      <c r="A63" s="1">
        <v>45132</v>
      </c>
      <c r="B63">
        <v>11.465</v>
      </c>
      <c r="C63">
        <v>11.48</v>
      </c>
      <c r="D63">
        <v>11.36</v>
      </c>
      <c r="E63">
        <v>11.42</v>
      </c>
      <c r="F63">
        <v>11.227683000000001</v>
      </c>
      <c r="G63">
        <v>10591498</v>
      </c>
    </row>
    <row r="64" spans="1:7" x14ac:dyDescent="0.2">
      <c r="A64" s="1">
        <v>45133</v>
      </c>
      <c r="B64">
        <v>11.425000000000001</v>
      </c>
      <c r="C64">
        <v>11.48</v>
      </c>
      <c r="D64">
        <v>11.335000000000001</v>
      </c>
      <c r="E64">
        <v>11.43</v>
      </c>
      <c r="F64">
        <v>11.237515</v>
      </c>
      <c r="G64">
        <v>7534960</v>
      </c>
    </row>
    <row r="65" spans="1:7" x14ac:dyDescent="0.2">
      <c r="A65" s="1">
        <v>45134</v>
      </c>
      <c r="B65">
        <v>11.515000000000001</v>
      </c>
      <c r="C65">
        <v>11.555</v>
      </c>
      <c r="D65">
        <v>11.365</v>
      </c>
      <c r="E65">
        <v>11.515000000000001</v>
      </c>
      <c r="F65">
        <v>11.321084000000001</v>
      </c>
      <c r="G65">
        <v>8571845</v>
      </c>
    </row>
    <row r="66" spans="1:7" x14ac:dyDescent="0.2">
      <c r="A66" s="1">
        <v>45135</v>
      </c>
      <c r="B66">
        <v>11.39</v>
      </c>
      <c r="C66">
        <v>11.574999999999999</v>
      </c>
      <c r="D66">
        <v>11.38</v>
      </c>
      <c r="E66">
        <v>11.44</v>
      </c>
      <c r="F66">
        <v>11.247346</v>
      </c>
      <c r="G66">
        <v>9309994</v>
      </c>
    </row>
    <row r="67" spans="1:7" x14ac:dyDescent="0.2">
      <c r="A67" s="1">
        <v>45138</v>
      </c>
      <c r="B67">
        <v>11.46</v>
      </c>
      <c r="C67">
        <v>11.49</v>
      </c>
      <c r="D67">
        <v>11.355</v>
      </c>
      <c r="E67">
        <v>11.355</v>
      </c>
      <c r="F67">
        <v>11.163777</v>
      </c>
      <c r="G67">
        <v>11615768</v>
      </c>
    </row>
    <row r="68" spans="1:7" x14ac:dyDescent="0.2">
      <c r="A68" s="1">
        <v>45139</v>
      </c>
      <c r="B68">
        <v>11.404999999999999</v>
      </c>
      <c r="C68">
        <v>11.41</v>
      </c>
      <c r="D68">
        <v>11.145</v>
      </c>
      <c r="E68">
        <v>11.164999999999999</v>
      </c>
      <c r="F68">
        <v>10.976977</v>
      </c>
      <c r="G68">
        <v>8866094</v>
      </c>
    </row>
    <row r="69" spans="1:7" x14ac:dyDescent="0.2">
      <c r="A69" s="1">
        <v>45140</v>
      </c>
      <c r="B69">
        <v>11.11</v>
      </c>
      <c r="C69">
        <v>11.125</v>
      </c>
      <c r="D69">
        <v>10.914999999999999</v>
      </c>
      <c r="E69">
        <v>10.914999999999999</v>
      </c>
      <c r="F69">
        <v>10.731188</v>
      </c>
      <c r="G69">
        <v>13634064</v>
      </c>
    </row>
    <row r="70" spans="1:7" x14ac:dyDescent="0.2">
      <c r="A70" s="1">
        <v>45141</v>
      </c>
      <c r="B70">
        <v>10.875</v>
      </c>
      <c r="C70">
        <v>10.91</v>
      </c>
      <c r="D70">
        <v>10.715</v>
      </c>
      <c r="E70">
        <v>10.75</v>
      </c>
      <c r="F70">
        <v>10.568966</v>
      </c>
      <c r="G70">
        <v>12910398</v>
      </c>
    </row>
    <row r="71" spans="1:7" x14ac:dyDescent="0.2">
      <c r="A71" s="1">
        <v>45142</v>
      </c>
      <c r="B71">
        <v>10.76</v>
      </c>
      <c r="C71">
        <v>10.81</v>
      </c>
      <c r="D71">
        <v>10.615</v>
      </c>
      <c r="E71">
        <v>10.79</v>
      </c>
      <c r="F71">
        <v>10.608293</v>
      </c>
      <c r="G71">
        <v>8453241</v>
      </c>
    </row>
    <row r="72" spans="1:7" x14ac:dyDescent="0.2">
      <c r="A72" s="1">
        <v>45145</v>
      </c>
      <c r="B72">
        <v>10.775</v>
      </c>
      <c r="C72">
        <v>10.78</v>
      </c>
      <c r="D72">
        <v>10.615</v>
      </c>
      <c r="E72">
        <v>10.765000000000001</v>
      </c>
      <c r="F72">
        <v>10.583714000000001</v>
      </c>
      <c r="G72">
        <v>5696306</v>
      </c>
    </row>
    <row r="73" spans="1:7" x14ac:dyDescent="0.2">
      <c r="A73" s="1">
        <v>45146</v>
      </c>
      <c r="B73">
        <v>10.75</v>
      </c>
      <c r="C73">
        <v>10.885</v>
      </c>
      <c r="D73">
        <v>10.71</v>
      </c>
      <c r="E73">
        <v>10.835000000000001</v>
      </c>
      <c r="F73">
        <v>10.652535</v>
      </c>
      <c r="G73">
        <v>9012207</v>
      </c>
    </row>
    <row r="74" spans="1:7" x14ac:dyDescent="0.2">
      <c r="A74" s="1">
        <v>45147</v>
      </c>
      <c r="B74">
        <v>10.885</v>
      </c>
      <c r="C74">
        <v>10.95</v>
      </c>
      <c r="D74">
        <v>10.765000000000001</v>
      </c>
      <c r="E74">
        <v>10.8</v>
      </c>
      <c r="F74">
        <v>10.618124999999999</v>
      </c>
      <c r="G74">
        <v>5811030</v>
      </c>
    </row>
    <row r="75" spans="1:7" x14ac:dyDescent="0.2">
      <c r="A75" s="1">
        <v>45148</v>
      </c>
      <c r="B75">
        <v>10.855</v>
      </c>
      <c r="C75">
        <v>10.975</v>
      </c>
      <c r="D75">
        <v>10.835000000000001</v>
      </c>
      <c r="E75">
        <v>10.945</v>
      </c>
      <c r="F75">
        <v>10.760681999999999</v>
      </c>
      <c r="G75">
        <v>10110198</v>
      </c>
    </row>
    <row r="76" spans="1:7" x14ac:dyDescent="0.2">
      <c r="A76" s="1">
        <v>45149</v>
      </c>
      <c r="B76">
        <v>10.925000000000001</v>
      </c>
      <c r="C76">
        <v>11.02</v>
      </c>
      <c r="D76">
        <v>10.9</v>
      </c>
      <c r="E76">
        <v>10.935</v>
      </c>
      <c r="F76">
        <v>10.750852</v>
      </c>
      <c r="G76">
        <v>5658572</v>
      </c>
    </row>
    <row r="77" spans="1:7" x14ac:dyDescent="0.2">
      <c r="A77" s="1">
        <v>45152</v>
      </c>
      <c r="B77">
        <v>10.92</v>
      </c>
      <c r="C77">
        <v>10.93</v>
      </c>
      <c r="D77">
        <v>10.845000000000001</v>
      </c>
      <c r="E77">
        <v>10.88</v>
      </c>
      <c r="F77">
        <v>10.696777000000001</v>
      </c>
      <c r="G77">
        <v>4300153</v>
      </c>
    </row>
    <row r="78" spans="1:7" x14ac:dyDescent="0.2">
      <c r="A78" s="1">
        <v>45153</v>
      </c>
      <c r="B78">
        <v>10.85</v>
      </c>
      <c r="C78">
        <v>10.86</v>
      </c>
      <c r="D78">
        <v>10.62</v>
      </c>
      <c r="E78">
        <v>10.645</v>
      </c>
      <c r="F78">
        <v>10.465735</v>
      </c>
      <c r="G78">
        <v>5995580</v>
      </c>
    </row>
    <row r="79" spans="1:7" x14ac:dyDescent="0.2">
      <c r="A79" s="1">
        <v>45154</v>
      </c>
      <c r="B79">
        <v>10.62</v>
      </c>
      <c r="C79">
        <v>10.795</v>
      </c>
      <c r="D79">
        <v>10.605</v>
      </c>
      <c r="E79">
        <v>10.71</v>
      </c>
      <c r="F79">
        <v>10.529640000000001</v>
      </c>
      <c r="G79">
        <v>4924478</v>
      </c>
    </row>
    <row r="80" spans="1:7" x14ac:dyDescent="0.2">
      <c r="A80" s="1">
        <v>45155</v>
      </c>
      <c r="B80">
        <v>10.67</v>
      </c>
      <c r="C80">
        <v>10.715</v>
      </c>
      <c r="D80">
        <v>10.56</v>
      </c>
      <c r="E80">
        <v>10.565</v>
      </c>
      <c r="F80">
        <v>10.387081</v>
      </c>
      <c r="G80">
        <v>8811656</v>
      </c>
    </row>
    <row r="81" spans="1:7" x14ac:dyDescent="0.2">
      <c r="A81" s="1">
        <v>45156</v>
      </c>
      <c r="B81">
        <v>10.615</v>
      </c>
      <c r="C81">
        <v>10.7</v>
      </c>
      <c r="D81">
        <v>10.54</v>
      </c>
      <c r="E81">
        <v>10.625</v>
      </c>
      <c r="F81">
        <v>10.446071999999999</v>
      </c>
      <c r="G81">
        <v>7286632</v>
      </c>
    </row>
    <row r="82" spans="1:7" x14ac:dyDescent="0.2">
      <c r="A82" s="1">
        <v>45159</v>
      </c>
      <c r="B82">
        <v>10.605</v>
      </c>
      <c r="C82">
        <v>10.744999999999999</v>
      </c>
      <c r="D82">
        <v>10.52</v>
      </c>
      <c r="E82">
        <v>10.6</v>
      </c>
      <c r="F82">
        <v>10.421493</v>
      </c>
      <c r="G82">
        <v>6797049</v>
      </c>
    </row>
    <row r="83" spans="1:7" x14ac:dyDescent="0.2">
      <c r="A83" s="1">
        <v>45160</v>
      </c>
      <c r="B83">
        <v>10.645</v>
      </c>
      <c r="C83">
        <v>10.74</v>
      </c>
      <c r="D83">
        <v>10.63</v>
      </c>
      <c r="E83">
        <v>10.68</v>
      </c>
      <c r="F83">
        <v>10.500146000000001</v>
      </c>
      <c r="G83">
        <v>4227897</v>
      </c>
    </row>
    <row r="84" spans="1:7" x14ac:dyDescent="0.2">
      <c r="A84" s="1">
        <v>45161</v>
      </c>
      <c r="B84">
        <v>10.725</v>
      </c>
      <c r="C84">
        <v>10.97</v>
      </c>
      <c r="D84">
        <v>10.71</v>
      </c>
      <c r="E84">
        <v>10.85</v>
      </c>
      <c r="F84">
        <v>10.667282999999999</v>
      </c>
      <c r="G84">
        <v>7058439</v>
      </c>
    </row>
    <row r="85" spans="1:7" x14ac:dyDescent="0.2">
      <c r="A85" s="1">
        <v>45162</v>
      </c>
      <c r="B85">
        <v>10.92</v>
      </c>
      <c r="C85">
        <v>10.98</v>
      </c>
      <c r="D85">
        <v>10.855</v>
      </c>
      <c r="E85">
        <v>10.855</v>
      </c>
      <c r="F85">
        <v>10.672197000000001</v>
      </c>
      <c r="G85">
        <v>9162150</v>
      </c>
    </row>
    <row r="86" spans="1:7" x14ac:dyDescent="0.2">
      <c r="A86" s="1">
        <v>45163</v>
      </c>
      <c r="B86">
        <v>10.81</v>
      </c>
      <c r="C86">
        <v>11.015000000000001</v>
      </c>
      <c r="D86">
        <v>10.81</v>
      </c>
      <c r="E86">
        <v>10.965</v>
      </c>
      <c r="F86">
        <v>10.780346</v>
      </c>
      <c r="G86">
        <v>5450383</v>
      </c>
    </row>
    <row r="87" spans="1:7" x14ac:dyDescent="0.2">
      <c r="A87" s="1">
        <v>45166</v>
      </c>
      <c r="B87">
        <v>11</v>
      </c>
      <c r="C87">
        <v>11.04</v>
      </c>
      <c r="D87">
        <v>10.98</v>
      </c>
      <c r="E87">
        <v>11.005000000000001</v>
      </c>
      <c r="F87">
        <v>10.819673</v>
      </c>
      <c r="G87">
        <v>415764</v>
      </c>
    </row>
    <row r="88" spans="1:7" x14ac:dyDescent="0.2">
      <c r="A88" s="1">
        <v>45167</v>
      </c>
      <c r="B88">
        <v>11.09</v>
      </c>
      <c r="C88">
        <v>11.244999999999999</v>
      </c>
      <c r="D88">
        <v>11.06</v>
      </c>
      <c r="E88">
        <v>11.244999999999999</v>
      </c>
      <c r="F88">
        <v>11.055631</v>
      </c>
      <c r="G88">
        <v>25553387</v>
      </c>
    </row>
    <row r="89" spans="1:7" x14ac:dyDescent="0.2">
      <c r="A89" s="1">
        <v>45168</v>
      </c>
      <c r="B89">
        <v>11.18</v>
      </c>
      <c r="C89">
        <v>11.215</v>
      </c>
      <c r="D89">
        <v>10.93</v>
      </c>
      <c r="E89">
        <v>10.984999999999999</v>
      </c>
      <c r="F89">
        <v>10.800008999999999</v>
      </c>
      <c r="G89">
        <v>10041630</v>
      </c>
    </row>
    <row r="90" spans="1:7" x14ac:dyDescent="0.2">
      <c r="A90" s="1">
        <v>45169</v>
      </c>
      <c r="B90">
        <v>10.984999999999999</v>
      </c>
      <c r="C90">
        <v>11.11</v>
      </c>
      <c r="D90">
        <v>10.96</v>
      </c>
      <c r="E90">
        <v>10.96</v>
      </c>
      <c r="F90">
        <v>10.77543</v>
      </c>
      <c r="G90">
        <v>32488379</v>
      </c>
    </row>
    <row r="91" spans="1:7" x14ac:dyDescent="0.2">
      <c r="A91" s="1">
        <v>45170</v>
      </c>
      <c r="B91">
        <v>10.925000000000001</v>
      </c>
      <c r="C91">
        <v>11.005000000000001</v>
      </c>
      <c r="D91">
        <v>10.795</v>
      </c>
      <c r="E91">
        <v>10.84</v>
      </c>
      <c r="F91">
        <v>10.657451</v>
      </c>
      <c r="G91">
        <v>6145359</v>
      </c>
    </row>
    <row r="92" spans="1:7" x14ac:dyDescent="0.2">
      <c r="A92" s="1">
        <v>45173</v>
      </c>
      <c r="B92">
        <v>10.88</v>
      </c>
      <c r="C92">
        <v>10.91</v>
      </c>
      <c r="D92">
        <v>10.71</v>
      </c>
      <c r="E92">
        <v>10.734999999999999</v>
      </c>
      <c r="F92">
        <v>10.554218000000001</v>
      </c>
      <c r="G92">
        <v>3926418</v>
      </c>
    </row>
    <row r="93" spans="1:7" x14ac:dyDescent="0.2">
      <c r="A93" s="1">
        <v>45174</v>
      </c>
      <c r="B93">
        <v>10.7</v>
      </c>
      <c r="C93">
        <v>10.82</v>
      </c>
      <c r="D93">
        <v>10.635</v>
      </c>
      <c r="E93">
        <v>10.64</v>
      </c>
      <c r="F93">
        <v>10.460819000000001</v>
      </c>
      <c r="G93">
        <v>6594136</v>
      </c>
    </row>
    <row r="94" spans="1:7" x14ac:dyDescent="0.2">
      <c r="A94" s="1">
        <v>45175</v>
      </c>
      <c r="B94">
        <v>10.635</v>
      </c>
      <c r="C94">
        <v>10.715</v>
      </c>
      <c r="D94">
        <v>10.56</v>
      </c>
      <c r="E94">
        <v>10.69</v>
      </c>
      <c r="F94">
        <v>10.509976</v>
      </c>
      <c r="G94">
        <v>5709829</v>
      </c>
    </row>
    <row r="95" spans="1:7" x14ac:dyDescent="0.2">
      <c r="A95" s="1">
        <v>45176</v>
      </c>
      <c r="B95">
        <v>10.695</v>
      </c>
      <c r="C95">
        <v>10.89</v>
      </c>
      <c r="D95">
        <v>10.63</v>
      </c>
      <c r="E95">
        <v>10.86</v>
      </c>
      <c r="F95">
        <v>10.677114</v>
      </c>
      <c r="G95">
        <v>7548982</v>
      </c>
    </row>
    <row r="96" spans="1:7" x14ac:dyDescent="0.2">
      <c r="A96" s="1">
        <v>45177</v>
      </c>
      <c r="B96">
        <v>10.92</v>
      </c>
      <c r="C96">
        <v>10.96</v>
      </c>
      <c r="D96">
        <v>10.725</v>
      </c>
      <c r="E96">
        <v>10.91</v>
      </c>
      <c r="F96">
        <v>10.726272</v>
      </c>
      <c r="G96">
        <v>5708173</v>
      </c>
    </row>
    <row r="97" spans="1:7" x14ac:dyDescent="0.2">
      <c r="A97" s="1">
        <v>45180</v>
      </c>
      <c r="B97">
        <v>10.96</v>
      </c>
      <c r="C97">
        <v>11</v>
      </c>
      <c r="D97">
        <v>10.78</v>
      </c>
      <c r="E97">
        <v>10.815</v>
      </c>
      <c r="F97">
        <v>10.632872000000001</v>
      </c>
      <c r="G97">
        <v>5767366</v>
      </c>
    </row>
    <row r="98" spans="1:7" x14ac:dyDescent="0.2">
      <c r="A98" s="1">
        <v>45181</v>
      </c>
      <c r="B98">
        <v>10.85</v>
      </c>
      <c r="C98">
        <v>10.885</v>
      </c>
      <c r="D98">
        <v>10.744999999999999</v>
      </c>
      <c r="E98">
        <v>10.805</v>
      </c>
      <c r="F98">
        <v>10.62304</v>
      </c>
      <c r="G98">
        <v>12923605</v>
      </c>
    </row>
    <row r="99" spans="1:7" x14ac:dyDescent="0.2">
      <c r="A99" s="1">
        <v>45182</v>
      </c>
      <c r="B99">
        <v>10.765000000000001</v>
      </c>
      <c r="C99">
        <v>10.805</v>
      </c>
      <c r="D99">
        <v>10.635</v>
      </c>
      <c r="E99">
        <v>10.785</v>
      </c>
      <c r="F99">
        <v>10.603376000000001</v>
      </c>
      <c r="G99">
        <v>7945560</v>
      </c>
    </row>
    <row r="100" spans="1:7" x14ac:dyDescent="0.2">
      <c r="A100" s="1">
        <v>45183</v>
      </c>
      <c r="B100">
        <v>10.81</v>
      </c>
      <c r="C100">
        <v>11.04</v>
      </c>
      <c r="D100">
        <v>10.795</v>
      </c>
      <c r="E100">
        <v>11.005000000000001</v>
      </c>
      <c r="F100">
        <v>10.819673</v>
      </c>
      <c r="G100">
        <v>8054630</v>
      </c>
    </row>
    <row r="101" spans="1:7" x14ac:dyDescent="0.2">
      <c r="A101" s="1">
        <v>45184</v>
      </c>
      <c r="B101">
        <v>11.065</v>
      </c>
      <c r="C101">
        <v>11.12</v>
      </c>
      <c r="D101">
        <v>10.975</v>
      </c>
      <c r="E101">
        <v>11.085000000000001</v>
      </c>
      <c r="F101">
        <v>10.898325</v>
      </c>
      <c r="G101">
        <v>26770564</v>
      </c>
    </row>
    <row r="102" spans="1:7" x14ac:dyDescent="0.2">
      <c r="A102" s="1">
        <v>45187</v>
      </c>
      <c r="B102">
        <v>11.025</v>
      </c>
      <c r="C102">
        <v>11.1</v>
      </c>
      <c r="D102">
        <v>10.955</v>
      </c>
      <c r="E102">
        <v>11.055</v>
      </c>
      <c r="F102">
        <v>10.868831</v>
      </c>
      <c r="G102">
        <v>6808689</v>
      </c>
    </row>
    <row r="103" spans="1:7" x14ac:dyDescent="0.2">
      <c r="A103" s="1">
        <v>45188</v>
      </c>
      <c r="B103">
        <v>11.04</v>
      </c>
      <c r="C103">
        <v>11.175000000000001</v>
      </c>
      <c r="D103">
        <v>11.04</v>
      </c>
      <c r="E103">
        <v>11.135</v>
      </c>
      <c r="F103">
        <v>10.947483</v>
      </c>
      <c r="G103">
        <v>5080644</v>
      </c>
    </row>
    <row r="104" spans="1:7" x14ac:dyDescent="0.2">
      <c r="A104" s="1">
        <v>45189</v>
      </c>
      <c r="B104">
        <v>11.164999999999999</v>
      </c>
      <c r="C104">
        <v>11.29</v>
      </c>
      <c r="D104">
        <v>11.145</v>
      </c>
      <c r="E104">
        <v>11.26</v>
      </c>
      <c r="F104">
        <v>11.070378</v>
      </c>
      <c r="G104">
        <v>7318422</v>
      </c>
    </row>
    <row r="105" spans="1:7" x14ac:dyDescent="0.2">
      <c r="A105" s="1">
        <v>45190</v>
      </c>
      <c r="B105">
        <v>11.16</v>
      </c>
      <c r="C105">
        <v>11.205</v>
      </c>
      <c r="D105">
        <v>10.955</v>
      </c>
      <c r="E105">
        <v>11.01</v>
      </c>
      <c r="F105">
        <v>10.824588</v>
      </c>
      <c r="G105">
        <v>7508414</v>
      </c>
    </row>
    <row r="106" spans="1:7" x14ac:dyDescent="0.2">
      <c r="A106" s="1">
        <v>45191</v>
      </c>
      <c r="B106">
        <v>10.94</v>
      </c>
      <c r="C106">
        <v>11.09</v>
      </c>
      <c r="D106">
        <v>10.87</v>
      </c>
      <c r="E106">
        <v>10.96</v>
      </c>
      <c r="F106">
        <v>10.77543</v>
      </c>
      <c r="G106">
        <v>18761000</v>
      </c>
    </row>
    <row r="107" spans="1:7" x14ac:dyDescent="0.2">
      <c r="A107" s="1">
        <v>45194</v>
      </c>
      <c r="B107">
        <v>10.935</v>
      </c>
      <c r="C107">
        <v>10.945</v>
      </c>
      <c r="D107">
        <v>10.705</v>
      </c>
      <c r="E107">
        <v>10.77</v>
      </c>
      <c r="F107">
        <v>10.58863</v>
      </c>
      <c r="G107">
        <v>5548543</v>
      </c>
    </row>
    <row r="108" spans="1:7" x14ac:dyDescent="0.2">
      <c r="A108" s="1">
        <v>45195</v>
      </c>
      <c r="B108">
        <v>10.7</v>
      </c>
      <c r="C108">
        <v>10.9</v>
      </c>
      <c r="D108">
        <v>10.66</v>
      </c>
      <c r="E108">
        <v>10.815</v>
      </c>
      <c r="F108">
        <v>10.632872000000001</v>
      </c>
      <c r="G108">
        <v>8082530</v>
      </c>
    </row>
    <row r="109" spans="1:7" x14ac:dyDescent="0.2">
      <c r="A109" s="1">
        <v>45196</v>
      </c>
      <c r="B109">
        <v>10.785</v>
      </c>
      <c r="C109">
        <v>10.805</v>
      </c>
      <c r="D109">
        <v>10.615</v>
      </c>
      <c r="E109">
        <v>10.63</v>
      </c>
      <c r="F109">
        <v>10.450987</v>
      </c>
      <c r="G109">
        <v>26413886</v>
      </c>
    </row>
    <row r="110" spans="1:7" x14ac:dyDescent="0.2">
      <c r="A110" s="1">
        <v>45197</v>
      </c>
      <c r="B110">
        <v>10.654999999999999</v>
      </c>
      <c r="C110">
        <v>10.73</v>
      </c>
      <c r="D110">
        <v>10.535</v>
      </c>
      <c r="E110">
        <v>10.57</v>
      </c>
      <c r="F110">
        <v>10.391997</v>
      </c>
      <c r="G110">
        <v>9329256</v>
      </c>
    </row>
    <row r="111" spans="1:7" x14ac:dyDescent="0.2">
      <c r="A111" s="1">
        <v>45198</v>
      </c>
      <c r="B111">
        <v>10.625</v>
      </c>
      <c r="C111">
        <v>10.734999999999999</v>
      </c>
      <c r="D111">
        <v>10.574999999999999</v>
      </c>
      <c r="E111">
        <v>10.595000000000001</v>
      </c>
      <c r="F111">
        <v>10.416577</v>
      </c>
      <c r="G111">
        <v>19508913</v>
      </c>
    </row>
    <row r="112" spans="1:7" x14ac:dyDescent="0.2">
      <c r="A112" s="1">
        <v>45201</v>
      </c>
      <c r="B112">
        <v>10.635</v>
      </c>
      <c r="C112">
        <v>10.685</v>
      </c>
      <c r="D112">
        <v>10.255000000000001</v>
      </c>
      <c r="E112">
        <v>10.265000000000001</v>
      </c>
      <c r="F112">
        <v>10.092134</v>
      </c>
      <c r="G112">
        <v>11823481</v>
      </c>
    </row>
    <row r="113" spans="1:7" x14ac:dyDescent="0.2">
      <c r="A113" s="1">
        <v>45202</v>
      </c>
      <c r="B113">
        <v>10.244999999999999</v>
      </c>
      <c r="C113">
        <v>10.255000000000001</v>
      </c>
      <c r="D113">
        <v>9.8819999999999997</v>
      </c>
      <c r="E113">
        <v>9.8919999999999995</v>
      </c>
      <c r="F113">
        <v>9.7254149999999999</v>
      </c>
      <c r="G113">
        <v>14695681</v>
      </c>
    </row>
    <row r="114" spans="1:7" x14ac:dyDescent="0.2">
      <c r="A114" s="1">
        <v>45203</v>
      </c>
      <c r="B114">
        <v>9.9740000000000002</v>
      </c>
      <c r="C114">
        <v>10.210000000000001</v>
      </c>
      <c r="D114">
        <v>9.9120000000000008</v>
      </c>
      <c r="E114">
        <v>10.015000000000001</v>
      </c>
      <c r="F114">
        <v>9.8463440000000002</v>
      </c>
      <c r="G114">
        <v>11887954</v>
      </c>
    </row>
    <row r="115" spans="1:7" x14ac:dyDescent="0.2">
      <c r="A115" s="1">
        <v>45204</v>
      </c>
      <c r="B115">
        <v>10.065</v>
      </c>
      <c r="C115">
        <v>10.185</v>
      </c>
      <c r="D115">
        <v>10.045</v>
      </c>
      <c r="E115">
        <v>10.135</v>
      </c>
      <c r="F115">
        <v>9.9643230000000003</v>
      </c>
      <c r="G115">
        <v>7478206</v>
      </c>
    </row>
    <row r="116" spans="1:7" x14ac:dyDescent="0.2">
      <c r="A116" s="1">
        <v>45205</v>
      </c>
      <c r="B116">
        <v>10.15</v>
      </c>
      <c r="C116">
        <v>10.16</v>
      </c>
      <c r="D116">
        <v>9.8940000000000001</v>
      </c>
      <c r="E116">
        <v>10.14</v>
      </c>
      <c r="F116">
        <v>9.969239</v>
      </c>
      <c r="G116">
        <v>9381413</v>
      </c>
    </row>
    <row r="117" spans="1:7" x14ac:dyDescent="0.2">
      <c r="A117" s="1">
        <v>45208</v>
      </c>
      <c r="B117">
        <v>10.17</v>
      </c>
      <c r="C117">
        <v>10.285</v>
      </c>
      <c r="D117">
        <v>10.14</v>
      </c>
      <c r="E117">
        <v>10.24</v>
      </c>
      <c r="F117">
        <v>10.067553999999999</v>
      </c>
      <c r="G117">
        <v>7513301</v>
      </c>
    </row>
    <row r="118" spans="1:7" x14ac:dyDescent="0.2">
      <c r="A118" s="1">
        <v>45209</v>
      </c>
      <c r="B118">
        <v>10.3</v>
      </c>
      <c r="C118">
        <v>10.555</v>
      </c>
      <c r="D118">
        <v>10.295</v>
      </c>
      <c r="E118">
        <v>10.505000000000001</v>
      </c>
      <c r="F118">
        <v>10.328093000000001</v>
      </c>
      <c r="G118">
        <v>11484271</v>
      </c>
    </row>
    <row r="119" spans="1:7" x14ac:dyDescent="0.2">
      <c r="A119" s="1">
        <v>45210</v>
      </c>
      <c r="B119">
        <v>10.484999999999999</v>
      </c>
      <c r="C119">
        <v>10.67</v>
      </c>
      <c r="D119">
        <v>10.47</v>
      </c>
      <c r="E119">
        <v>10.635</v>
      </c>
      <c r="F119">
        <v>10.455902999999999</v>
      </c>
      <c r="G119">
        <v>9325774</v>
      </c>
    </row>
    <row r="120" spans="1:7" x14ac:dyDescent="0.2">
      <c r="A120" s="1">
        <v>45211</v>
      </c>
      <c r="B120">
        <v>10.71</v>
      </c>
      <c r="C120">
        <v>10.775</v>
      </c>
      <c r="D120">
        <v>10.555</v>
      </c>
      <c r="E120">
        <v>10.58</v>
      </c>
      <c r="F120">
        <v>10.401828999999999</v>
      </c>
      <c r="G120">
        <v>6453554</v>
      </c>
    </row>
    <row r="121" spans="1:7" x14ac:dyDescent="0.2">
      <c r="A121" s="1">
        <v>45212</v>
      </c>
      <c r="B121">
        <v>10.5</v>
      </c>
      <c r="C121">
        <v>10.65</v>
      </c>
      <c r="D121">
        <v>10.445</v>
      </c>
      <c r="E121">
        <v>10.56</v>
      </c>
      <c r="F121">
        <v>10.382167000000001</v>
      </c>
      <c r="G121">
        <v>7491305</v>
      </c>
    </row>
    <row r="122" spans="1:7" x14ac:dyDescent="0.2">
      <c r="A122" s="1">
        <v>45215</v>
      </c>
      <c r="B122">
        <v>10.41</v>
      </c>
      <c r="C122">
        <v>10.525</v>
      </c>
      <c r="D122">
        <v>10.32</v>
      </c>
      <c r="E122">
        <v>10.515000000000001</v>
      </c>
      <c r="F122">
        <v>10.337923999999999</v>
      </c>
      <c r="G122">
        <v>9813859</v>
      </c>
    </row>
    <row r="123" spans="1:7" x14ac:dyDescent="0.2">
      <c r="A123" s="1">
        <v>45216</v>
      </c>
      <c r="B123">
        <v>10.5</v>
      </c>
      <c r="C123">
        <v>10.555</v>
      </c>
      <c r="D123">
        <v>10.365</v>
      </c>
      <c r="E123">
        <v>10.475</v>
      </c>
      <c r="F123">
        <v>10.298598</v>
      </c>
      <c r="G123">
        <v>5730856</v>
      </c>
    </row>
    <row r="124" spans="1:7" x14ac:dyDescent="0.2">
      <c r="A124" s="1">
        <v>45217</v>
      </c>
      <c r="B124">
        <v>10.404999999999999</v>
      </c>
      <c r="C124">
        <v>10.44</v>
      </c>
      <c r="D124">
        <v>10.34</v>
      </c>
      <c r="E124">
        <v>10.38</v>
      </c>
      <c r="F124">
        <v>10.205197</v>
      </c>
      <c r="G124">
        <v>8852074</v>
      </c>
    </row>
    <row r="125" spans="1:7" x14ac:dyDescent="0.2">
      <c r="A125" s="1">
        <v>45218</v>
      </c>
      <c r="B125">
        <v>10.315</v>
      </c>
      <c r="C125">
        <v>10.425000000000001</v>
      </c>
      <c r="D125">
        <v>10.25</v>
      </c>
      <c r="E125">
        <v>10.41</v>
      </c>
      <c r="F125">
        <v>10.234692000000001</v>
      </c>
      <c r="G125">
        <v>7049936</v>
      </c>
    </row>
    <row r="126" spans="1:7" x14ac:dyDescent="0.2">
      <c r="A126" s="1">
        <v>45219</v>
      </c>
      <c r="B126">
        <v>10.3</v>
      </c>
      <c r="C126">
        <v>10.425000000000001</v>
      </c>
      <c r="D126">
        <v>10.265000000000001</v>
      </c>
      <c r="E126">
        <v>10.37</v>
      </c>
      <c r="F126">
        <v>10.195366</v>
      </c>
      <c r="G126">
        <v>45927371</v>
      </c>
    </row>
    <row r="127" spans="1:7" x14ac:dyDescent="0.2">
      <c r="A127" s="1">
        <v>45222</v>
      </c>
      <c r="B127">
        <v>10.34</v>
      </c>
      <c r="C127">
        <v>10.385</v>
      </c>
      <c r="D127">
        <v>10.15</v>
      </c>
      <c r="E127">
        <v>10.295</v>
      </c>
      <c r="F127">
        <v>10.121629</v>
      </c>
      <c r="G127">
        <v>6438115</v>
      </c>
    </row>
    <row r="128" spans="1:7" x14ac:dyDescent="0.2">
      <c r="A128" s="1">
        <v>45223</v>
      </c>
      <c r="B128">
        <v>10.3</v>
      </c>
      <c r="C128">
        <v>10.425000000000001</v>
      </c>
      <c r="D128">
        <v>10.295</v>
      </c>
      <c r="E128">
        <v>10.41</v>
      </c>
      <c r="F128">
        <v>10.234692000000001</v>
      </c>
      <c r="G128">
        <v>7869103</v>
      </c>
    </row>
    <row r="129" spans="1:7" x14ac:dyDescent="0.2">
      <c r="A129" s="1">
        <v>45224</v>
      </c>
      <c r="B129">
        <v>10.42</v>
      </c>
      <c r="C129">
        <v>10.555</v>
      </c>
      <c r="D129">
        <v>10.305</v>
      </c>
      <c r="E129">
        <v>10.53</v>
      </c>
      <c r="F129">
        <v>10.352671000000001</v>
      </c>
      <c r="G129">
        <v>8262938</v>
      </c>
    </row>
    <row r="130" spans="1:7" x14ac:dyDescent="0.2">
      <c r="A130" s="1">
        <v>45225</v>
      </c>
      <c r="B130">
        <v>10.55</v>
      </c>
      <c r="C130">
        <v>10.76</v>
      </c>
      <c r="D130">
        <v>10.39</v>
      </c>
      <c r="E130">
        <v>10.525</v>
      </c>
      <c r="F130">
        <v>10.347754999999999</v>
      </c>
      <c r="G130">
        <v>10969558</v>
      </c>
    </row>
    <row r="131" spans="1:7" x14ac:dyDescent="0.2">
      <c r="A131" s="1">
        <v>45226</v>
      </c>
      <c r="B131">
        <v>10.57</v>
      </c>
      <c r="C131">
        <v>10.6</v>
      </c>
      <c r="D131">
        <v>10.37</v>
      </c>
      <c r="E131">
        <v>10.37</v>
      </c>
      <c r="F131">
        <v>10.195366</v>
      </c>
      <c r="G131">
        <v>6148441</v>
      </c>
    </row>
    <row r="132" spans="1:7" x14ac:dyDescent="0.2">
      <c r="A132" s="1">
        <v>45229</v>
      </c>
      <c r="B132">
        <v>10.5</v>
      </c>
      <c r="C132">
        <v>10.525</v>
      </c>
      <c r="D132">
        <v>10.375</v>
      </c>
      <c r="E132">
        <v>10.404999999999999</v>
      </c>
      <c r="F132">
        <v>10.229775999999999</v>
      </c>
      <c r="G132">
        <v>6837437</v>
      </c>
    </row>
    <row r="133" spans="1:7" x14ac:dyDescent="0.2">
      <c r="A133" s="1">
        <v>45230</v>
      </c>
      <c r="B133">
        <v>10.46</v>
      </c>
      <c r="C133">
        <v>10.57</v>
      </c>
      <c r="D133">
        <v>10.39</v>
      </c>
      <c r="E133">
        <v>10.5</v>
      </c>
      <c r="F133">
        <v>10.323176</v>
      </c>
      <c r="G133">
        <v>20116746</v>
      </c>
    </row>
    <row r="134" spans="1:7" x14ac:dyDescent="0.2">
      <c r="A134" s="1">
        <v>45231</v>
      </c>
      <c r="B134">
        <v>10.45</v>
      </c>
      <c r="C134">
        <v>10.55</v>
      </c>
      <c r="D134">
        <v>10.39</v>
      </c>
      <c r="E134">
        <v>10.535</v>
      </c>
      <c r="F134">
        <v>10.357587000000001</v>
      </c>
      <c r="G134">
        <v>10366102</v>
      </c>
    </row>
    <row r="135" spans="1:7" x14ac:dyDescent="0.2">
      <c r="A135" s="1">
        <v>45232</v>
      </c>
      <c r="B135">
        <v>10.605</v>
      </c>
      <c r="C135">
        <v>10.84</v>
      </c>
      <c r="D135">
        <v>10.6</v>
      </c>
      <c r="E135">
        <v>10.75</v>
      </c>
      <c r="F135">
        <v>10.568966</v>
      </c>
      <c r="G135">
        <v>11053117</v>
      </c>
    </row>
    <row r="136" spans="1:7" x14ac:dyDescent="0.2">
      <c r="A136" s="1">
        <v>45233</v>
      </c>
      <c r="B136">
        <v>10.755000000000001</v>
      </c>
      <c r="C136">
        <v>10.815</v>
      </c>
      <c r="D136">
        <v>10.62</v>
      </c>
      <c r="E136">
        <v>10.68</v>
      </c>
      <c r="F136">
        <v>10.500146000000001</v>
      </c>
      <c r="G136">
        <v>8906460</v>
      </c>
    </row>
    <row r="137" spans="1:7" x14ac:dyDescent="0.2">
      <c r="A137" s="1">
        <v>45236</v>
      </c>
      <c r="B137">
        <v>10.654999999999999</v>
      </c>
      <c r="C137">
        <v>10.7</v>
      </c>
      <c r="D137">
        <v>10.505000000000001</v>
      </c>
      <c r="E137">
        <v>10.57</v>
      </c>
      <c r="F137">
        <v>10.391997</v>
      </c>
      <c r="G137">
        <v>5711205</v>
      </c>
    </row>
    <row r="138" spans="1:7" x14ac:dyDescent="0.2">
      <c r="A138" s="1">
        <v>45237</v>
      </c>
      <c r="B138">
        <v>10.51</v>
      </c>
      <c r="C138">
        <v>10.57</v>
      </c>
      <c r="D138">
        <v>10.425000000000001</v>
      </c>
      <c r="E138">
        <v>10.465</v>
      </c>
      <c r="F138">
        <v>10.288766000000001</v>
      </c>
      <c r="G138">
        <v>5724286</v>
      </c>
    </row>
    <row r="139" spans="1:7" x14ac:dyDescent="0.2">
      <c r="A139" s="1">
        <v>45238</v>
      </c>
      <c r="B139">
        <v>10.404999999999999</v>
      </c>
      <c r="C139">
        <v>10.48</v>
      </c>
      <c r="D139">
        <v>10.315</v>
      </c>
      <c r="E139">
        <v>10.465</v>
      </c>
      <c r="F139">
        <v>10.288766000000001</v>
      </c>
      <c r="G139">
        <v>7598571</v>
      </c>
    </row>
    <row r="140" spans="1:7" x14ac:dyDescent="0.2">
      <c r="A140" s="1">
        <v>45239</v>
      </c>
      <c r="B140">
        <v>10.54</v>
      </c>
      <c r="C140">
        <v>10.664999999999999</v>
      </c>
      <c r="D140">
        <v>10.525</v>
      </c>
      <c r="E140">
        <v>10.65</v>
      </c>
      <c r="F140">
        <v>10.470649999999999</v>
      </c>
      <c r="G140">
        <v>6558788</v>
      </c>
    </row>
    <row r="141" spans="1:7" x14ac:dyDescent="0.2">
      <c r="A141" s="1">
        <v>45240</v>
      </c>
      <c r="B141">
        <v>10.6</v>
      </c>
      <c r="C141">
        <v>10.67</v>
      </c>
      <c r="D141">
        <v>10.555</v>
      </c>
      <c r="E141">
        <v>10.65</v>
      </c>
      <c r="F141">
        <v>10.470649999999999</v>
      </c>
      <c r="G141">
        <v>5867022</v>
      </c>
    </row>
    <row r="142" spans="1:7" x14ac:dyDescent="0.2">
      <c r="A142" s="1">
        <v>45243</v>
      </c>
      <c r="B142">
        <v>10.625</v>
      </c>
      <c r="C142">
        <v>10.74</v>
      </c>
      <c r="D142">
        <v>10.595000000000001</v>
      </c>
      <c r="E142">
        <v>10.71</v>
      </c>
      <c r="F142">
        <v>10.529640000000001</v>
      </c>
      <c r="G142">
        <v>5596989</v>
      </c>
    </row>
    <row r="143" spans="1:7" x14ac:dyDescent="0.2">
      <c r="A143" s="1">
        <v>45244</v>
      </c>
      <c r="B143">
        <v>10.75</v>
      </c>
      <c r="C143">
        <v>10.92</v>
      </c>
      <c r="D143">
        <v>10.675000000000001</v>
      </c>
      <c r="E143">
        <v>10.885</v>
      </c>
      <c r="F143">
        <v>10.701694</v>
      </c>
      <c r="G143">
        <v>8883835</v>
      </c>
    </row>
    <row r="144" spans="1:7" x14ac:dyDescent="0.2">
      <c r="A144" s="1">
        <v>45245</v>
      </c>
      <c r="B144">
        <v>10.89</v>
      </c>
      <c r="C144">
        <v>10.935</v>
      </c>
      <c r="D144">
        <v>10.75</v>
      </c>
      <c r="E144">
        <v>10.775</v>
      </c>
      <c r="F144">
        <v>10.593545000000001</v>
      </c>
      <c r="G144">
        <v>7242568</v>
      </c>
    </row>
    <row r="145" spans="1:7" x14ac:dyDescent="0.2">
      <c r="A145" s="1">
        <v>45246</v>
      </c>
      <c r="B145">
        <v>10.815</v>
      </c>
      <c r="C145">
        <v>11.045</v>
      </c>
      <c r="D145">
        <v>10.795</v>
      </c>
      <c r="E145">
        <v>11.005000000000001</v>
      </c>
      <c r="F145">
        <v>10.819673</v>
      </c>
      <c r="G145">
        <v>8488153</v>
      </c>
    </row>
    <row r="146" spans="1:7" x14ac:dyDescent="0.2">
      <c r="A146" s="1">
        <v>45247</v>
      </c>
      <c r="B146">
        <v>11.015000000000001</v>
      </c>
      <c r="C146">
        <v>11.115</v>
      </c>
      <c r="D146">
        <v>10.99</v>
      </c>
      <c r="E146">
        <v>11.07</v>
      </c>
      <c r="F146">
        <v>10.883577000000001</v>
      </c>
      <c r="G146">
        <v>22067319</v>
      </c>
    </row>
    <row r="147" spans="1:7" x14ac:dyDescent="0.2">
      <c r="A147" s="1">
        <v>45250</v>
      </c>
      <c r="B147">
        <v>11.005000000000001</v>
      </c>
      <c r="C147">
        <v>11.164999999999999</v>
      </c>
      <c r="D147">
        <v>10.97</v>
      </c>
      <c r="E147">
        <v>11.125</v>
      </c>
      <c r="F147">
        <v>10.937652</v>
      </c>
      <c r="G147">
        <v>7390635</v>
      </c>
    </row>
    <row r="148" spans="1:7" x14ac:dyDescent="0.2">
      <c r="A148" s="1">
        <v>45251</v>
      </c>
      <c r="B148">
        <v>11.125</v>
      </c>
      <c r="C148">
        <v>11.18</v>
      </c>
      <c r="D148">
        <v>10.97</v>
      </c>
      <c r="E148">
        <v>11.04</v>
      </c>
      <c r="F148">
        <v>10.854082999999999</v>
      </c>
      <c r="G148">
        <v>9561381</v>
      </c>
    </row>
    <row r="149" spans="1:7" x14ac:dyDescent="0.2">
      <c r="A149" s="1">
        <v>45252</v>
      </c>
      <c r="B149">
        <v>11.08</v>
      </c>
      <c r="C149">
        <v>11.135</v>
      </c>
      <c r="D149">
        <v>11.035</v>
      </c>
      <c r="E149">
        <v>11.095000000000001</v>
      </c>
      <c r="F149">
        <v>10.908156</v>
      </c>
      <c r="G149">
        <v>10248526</v>
      </c>
    </row>
    <row r="150" spans="1:7" x14ac:dyDescent="0.2">
      <c r="A150" s="1">
        <v>45253</v>
      </c>
      <c r="B150">
        <v>11.12</v>
      </c>
      <c r="C150">
        <v>11.15</v>
      </c>
      <c r="D150">
        <v>11.08</v>
      </c>
      <c r="E150">
        <v>11.13</v>
      </c>
      <c r="F150">
        <v>10.942567</v>
      </c>
      <c r="G150">
        <v>4545513</v>
      </c>
    </row>
    <row r="151" spans="1:7" x14ac:dyDescent="0.2">
      <c r="A151" s="1">
        <v>45254</v>
      </c>
      <c r="B151">
        <v>11.12</v>
      </c>
      <c r="C151">
        <v>11.255000000000001</v>
      </c>
      <c r="D151">
        <v>11.1</v>
      </c>
      <c r="E151">
        <v>11.19</v>
      </c>
      <c r="F151">
        <v>11.001556000000001</v>
      </c>
      <c r="G151">
        <v>6451089</v>
      </c>
    </row>
    <row r="152" spans="1:7" x14ac:dyDescent="0.2">
      <c r="A152" s="1">
        <v>45257</v>
      </c>
      <c r="B152">
        <v>11.2</v>
      </c>
      <c r="C152">
        <v>11.305</v>
      </c>
      <c r="D152">
        <v>11.17</v>
      </c>
      <c r="E152">
        <v>11.26</v>
      </c>
      <c r="F152">
        <v>11.070378</v>
      </c>
      <c r="G152">
        <v>9118607</v>
      </c>
    </row>
    <row r="153" spans="1:7" x14ac:dyDescent="0.2">
      <c r="A153" s="1">
        <v>45258</v>
      </c>
      <c r="B153">
        <v>11.255000000000001</v>
      </c>
      <c r="C153">
        <v>11.34</v>
      </c>
      <c r="D153">
        <v>11.225</v>
      </c>
      <c r="E153">
        <v>11.28</v>
      </c>
      <c r="F153">
        <v>11.090040999999999</v>
      </c>
      <c r="G153">
        <v>10991186</v>
      </c>
    </row>
    <row r="154" spans="1:7" x14ac:dyDescent="0.2">
      <c r="A154" s="1">
        <v>45259</v>
      </c>
      <c r="B154">
        <v>11.335000000000001</v>
      </c>
      <c r="C154">
        <v>11.44</v>
      </c>
      <c r="D154">
        <v>11.305</v>
      </c>
      <c r="E154">
        <v>11.305</v>
      </c>
      <c r="F154">
        <v>11.11462</v>
      </c>
      <c r="G154">
        <v>7778039</v>
      </c>
    </row>
    <row r="155" spans="1:7" x14ac:dyDescent="0.2">
      <c r="A155" s="1">
        <v>45260</v>
      </c>
      <c r="B155">
        <v>11.27</v>
      </c>
      <c r="C155">
        <v>11.38</v>
      </c>
      <c r="D155">
        <v>11.24</v>
      </c>
      <c r="E155">
        <v>11.345000000000001</v>
      </c>
      <c r="F155">
        <v>11.153947000000001</v>
      </c>
      <c r="G155">
        <v>29505850</v>
      </c>
    </row>
    <row r="156" spans="1:7" x14ac:dyDescent="0.2">
      <c r="A156" s="1">
        <v>45261</v>
      </c>
      <c r="B156">
        <v>11.36</v>
      </c>
      <c r="C156">
        <v>11.435</v>
      </c>
      <c r="D156">
        <v>11.345000000000001</v>
      </c>
      <c r="E156">
        <v>11.425000000000001</v>
      </c>
      <c r="F156">
        <v>11.232599</v>
      </c>
      <c r="G156">
        <v>5923634</v>
      </c>
    </row>
    <row r="157" spans="1:7" x14ac:dyDescent="0.2">
      <c r="A157" s="1">
        <v>45264</v>
      </c>
      <c r="B157">
        <v>11.4</v>
      </c>
      <c r="C157">
        <v>11.545</v>
      </c>
      <c r="D157">
        <v>11.395</v>
      </c>
      <c r="E157">
        <v>11.515000000000001</v>
      </c>
      <c r="F157">
        <v>11.321084000000001</v>
      </c>
      <c r="G157">
        <v>6943022</v>
      </c>
    </row>
    <row r="158" spans="1:7" x14ac:dyDescent="0.2">
      <c r="A158" s="1">
        <v>45265</v>
      </c>
      <c r="B158">
        <v>11.535</v>
      </c>
      <c r="C158">
        <v>11.645</v>
      </c>
      <c r="D158">
        <v>11.5</v>
      </c>
      <c r="E158">
        <v>11.574999999999999</v>
      </c>
      <c r="F158">
        <v>11.380072999999999</v>
      </c>
      <c r="G158">
        <v>14060604</v>
      </c>
    </row>
    <row r="159" spans="1:7" x14ac:dyDescent="0.2">
      <c r="A159" s="1">
        <v>45266</v>
      </c>
      <c r="B159">
        <v>11.654999999999999</v>
      </c>
      <c r="C159">
        <v>11.72</v>
      </c>
      <c r="D159">
        <v>11.53</v>
      </c>
      <c r="E159">
        <v>11.66</v>
      </c>
      <c r="F159">
        <v>11.463641000000001</v>
      </c>
      <c r="G159">
        <v>8727630</v>
      </c>
    </row>
    <row r="160" spans="1:7" x14ac:dyDescent="0.2">
      <c r="A160" s="1">
        <v>45267</v>
      </c>
      <c r="B160">
        <v>11.73</v>
      </c>
      <c r="C160">
        <v>11.77</v>
      </c>
      <c r="D160">
        <v>11.675000000000001</v>
      </c>
      <c r="E160">
        <v>11.74</v>
      </c>
      <c r="F160">
        <v>11.542294999999999</v>
      </c>
      <c r="G160">
        <v>10477272</v>
      </c>
    </row>
    <row r="161" spans="1:7" x14ac:dyDescent="0.2">
      <c r="A161" s="1">
        <v>45268</v>
      </c>
      <c r="B161">
        <v>11.725</v>
      </c>
      <c r="C161">
        <v>11.82</v>
      </c>
      <c r="D161">
        <v>11.725</v>
      </c>
      <c r="E161">
        <v>11.795</v>
      </c>
      <c r="F161">
        <v>11.596368</v>
      </c>
      <c r="G161">
        <v>9383835</v>
      </c>
    </row>
    <row r="162" spans="1:7" x14ac:dyDescent="0.2">
      <c r="A162" s="1">
        <v>45271</v>
      </c>
      <c r="B162">
        <v>11.79</v>
      </c>
      <c r="C162">
        <v>11.815</v>
      </c>
      <c r="D162">
        <v>11.73</v>
      </c>
      <c r="E162">
        <v>11.75</v>
      </c>
      <c r="F162">
        <v>11.552125999999999</v>
      </c>
      <c r="G162">
        <v>9338825</v>
      </c>
    </row>
    <row r="163" spans="1:7" x14ac:dyDescent="0.2">
      <c r="A163" s="1">
        <v>45272</v>
      </c>
      <c r="B163">
        <v>11.73</v>
      </c>
      <c r="C163">
        <v>11.785</v>
      </c>
      <c r="D163">
        <v>11.685</v>
      </c>
      <c r="E163">
        <v>11.695</v>
      </c>
      <c r="F163">
        <v>11.498051999999999</v>
      </c>
      <c r="G163">
        <v>9981311</v>
      </c>
    </row>
    <row r="164" spans="1:7" x14ac:dyDescent="0.2">
      <c r="A164" s="1">
        <v>45273</v>
      </c>
      <c r="B164">
        <v>11.74</v>
      </c>
      <c r="C164">
        <v>11.785</v>
      </c>
      <c r="D164">
        <v>11.69</v>
      </c>
      <c r="E164">
        <v>11.75</v>
      </c>
      <c r="F164">
        <v>11.552125999999999</v>
      </c>
      <c r="G164">
        <v>27318856</v>
      </c>
    </row>
    <row r="165" spans="1:7" x14ac:dyDescent="0.2">
      <c r="A165" s="1">
        <v>45274</v>
      </c>
      <c r="B165">
        <v>11.9</v>
      </c>
      <c r="C165">
        <v>12.015000000000001</v>
      </c>
      <c r="D165">
        <v>11.81</v>
      </c>
      <c r="E165">
        <v>11.824999999999999</v>
      </c>
      <c r="F165">
        <v>11.625863000000001</v>
      </c>
      <c r="G165">
        <v>11435882</v>
      </c>
    </row>
    <row r="166" spans="1:7" x14ac:dyDescent="0.2">
      <c r="A166" s="1">
        <v>45275</v>
      </c>
      <c r="B166">
        <v>11.8</v>
      </c>
      <c r="C166">
        <v>11.85</v>
      </c>
      <c r="D166">
        <v>11.695</v>
      </c>
      <c r="E166">
        <v>11.76</v>
      </c>
      <c r="F166">
        <v>11.561958000000001</v>
      </c>
      <c r="G166">
        <v>31835795</v>
      </c>
    </row>
    <row r="167" spans="1:7" x14ac:dyDescent="0.2">
      <c r="A167" s="1">
        <v>45278</v>
      </c>
      <c r="B167">
        <v>11.75</v>
      </c>
      <c r="C167">
        <v>11.824999999999999</v>
      </c>
      <c r="D167">
        <v>11.695</v>
      </c>
      <c r="E167">
        <v>11.695</v>
      </c>
      <c r="F167">
        <v>11.498051999999999</v>
      </c>
      <c r="G167">
        <v>11950598</v>
      </c>
    </row>
    <row r="168" spans="1:7" x14ac:dyDescent="0.2">
      <c r="A168" s="1">
        <v>45279</v>
      </c>
      <c r="B168">
        <v>11.73</v>
      </c>
      <c r="C168">
        <v>11.89</v>
      </c>
      <c r="D168">
        <v>11.72</v>
      </c>
      <c r="E168">
        <v>11.824999999999999</v>
      </c>
      <c r="F168">
        <v>11.625863000000001</v>
      </c>
      <c r="G168">
        <v>12214202</v>
      </c>
    </row>
    <row r="169" spans="1:7" x14ac:dyDescent="0.2">
      <c r="A169" s="1">
        <v>45280</v>
      </c>
      <c r="B169">
        <v>11.82</v>
      </c>
      <c r="C169">
        <v>11.865</v>
      </c>
      <c r="D169">
        <v>11.734999999999999</v>
      </c>
      <c r="E169">
        <v>11.76</v>
      </c>
      <c r="F169">
        <v>11.561958000000001</v>
      </c>
      <c r="G169">
        <v>10598560</v>
      </c>
    </row>
    <row r="170" spans="1:7" x14ac:dyDescent="0.2">
      <c r="A170" s="1">
        <v>45281</v>
      </c>
      <c r="B170">
        <v>11.73</v>
      </c>
      <c r="C170">
        <v>11.795</v>
      </c>
      <c r="D170">
        <v>11.7</v>
      </c>
      <c r="E170">
        <v>11.785</v>
      </c>
      <c r="F170">
        <v>11.586536000000001</v>
      </c>
      <c r="G170">
        <v>5549635</v>
      </c>
    </row>
    <row r="171" spans="1:7" x14ac:dyDescent="0.2">
      <c r="A171" s="1">
        <v>45282</v>
      </c>
      <c r="B171">
        <v>11.795</v>
      </c>
      <c r="C171">
        <v>11.91</v>
      </c>
      <c r="D171">
        <v>11.78</v>
      </c>
      <c r="E171">
        <v>11.86</v>
      </c>
      <c r="F171">
        <v>11.660273999999999</v>
      </c>
      <c r="G171">
        <v>5974950</v>
      </c>
    </row>
    <row r="172" spans="1:7" x14ac:dyDescent="0.2">
      <c r="A172" s="1">
        <v>45287</v>
      </c>
      <c r="B172">
        <v>11.785</v>
      </c>
      <c r="C172">
        <v>11.87</v>
      </c>
      <c r="D172">
        <v>11.785</v>
      </c>
      <c r="E172">
        <v>11.835000000000001</v>
      </c>
      <c r="F172">
        <v>11.635695</v>
      </c>
      <c r="G172">
        <v>6924049</v>
      </c>
    </row>
    <row r="173" spans="1:7" x14ac:dyDescent="0.2">
      <c r="A173" s="1">
        <v>45288</v>
      </c>
      <c r="B173">
        <v>11.87</v>
      </c>
      <c r="C173">
        <v>11.91</v>
      </c>
      <c r="D173">
        <v>11.82</v>
      </c>
      <c r="E173">
        <v>11.824999999999999</v>
      </c>
      <c r="F173">
        <v>11.625863000000001</v>
      </c>
      <c r="G173">
        <v>7174163</v>
      </c>
    </row>
    <row r="174" spans="1:7" x14ac:dyDescent="0.2">
      <c r="A174" s="1">
        <v>45289</v>
      </c>
      <c r="B174">
        <v>11.865</v>
      </c>
      <c r="C174">
        <v>11.92</v>
      </c>
      <c r="D174">
        <v>11.855</v>
      </c>
      <c r="E174">
        <v>11.87</v>
      </c>
      <c r="F174">
        <v>11.670105</v>
      </c>
      <c r="G174">
        <v>7592614</v>
      </c>
    </row>
    <row r="175" spans="1:7" x14ac:dyDescent="0.2">
      <c r="A175" s="1">
        <v>45293</v>
      </c>
      <c r="B175">
        <v>12</v>
      </c>
      <c r="C175">
        <v>12.07</v>
      </c>
      <c r="D175">
        <v>11.81</v>
      </c>
      <c r="E175">
        <v>11.875</v>
      </c>
      <c r="F175">
        <v>11.675020999999999</v>
      </c>
      <c r="G175">
        <v>12175208</v>
      </c>
    </row>
    <row r="176" spans="1:7" x14ac:dyDescent="0.2">
      <c r="A176" s="1">
        <v>45294</v>
      </c>
      <c r="B176">
        <v>11.925000000000001</v>
      </c>
      <c r="C176">
        <v>11.98</v>
      </c>
      <c r="D176">
        <v>11.824999999999999</v>
      </c>
      <c r="E176">
        <v>11.835000000000001</v>
      </c>
      <c r="F176">
        <v>11.635695</v>
      </c>
      <c r="G176">
        <v>10708600</v>
      </c>
    </row>
    <row r="177" spans="1:7" x14ac:dyDescent="0.2">
      <c r="A177" s="1">
        <v>45295</v>
      </c>
      <c r="B177">
        <v>11.885</v>
      </c>
      <c r="C177">
        <v>12.05</v>
      </c>
      <c r="D177">
        <v>11.885</v>
      </c>
      <c r="E177">
        <v>12.03</v>
      </c>
      <c r="F177">
        <v>11.827411</v>
      </c>
      <c r="G177">
        <v>17462323</v>
      </c>
    </row>
    <row r="178" spans="1:7" x14ac:dyDescent="0.2">
      <c r="A178" s="1">
        <v>45296</v>
      </c>
      <c r="B178">
        <v>11.95</v>
      </c>
      <c r="C178">
        <v>12.065</v>
      </c>
      <c r="D178">
        <v>11.885</v>
      </c>
      <c r="E178">
        <v>12.035</v>
      </c>
      <c r="F178">
        <v>11.832326</v>
      </c>
      <c r="G178">
        <v>10171410</v>
      </c>
    </row>
    <row r="179" spans="1:7" x14ac:dyDescent="0.2">
      <c r="A179" s="1">
        <v>45299</v>
      </c>
      <c r="B179">
        <v>11.99</v>
      </c>
      <c r="C179">
        <v>12.074999999999999</v>
      </c>
      <c r="D179">
        <v>11.96</v>
      </c>
      <c r="E179">
        <v>11.994999999999999</v>
      </c>
      <c r="F179">
        <v>11.792999999999999</v>
      </c>
      <c r="G179">
        <v>14466437</v>
      </c>
    </row>
    <row r="180" spans="1:7" x14ac:dyDescent="0.2">
      <c r="A180" s="1">
        <v>45300</v>
      </c>
      <c r="B180">
        <v>11.74</v>
      </c>
      <c r="C180">
        <v>11.775</v>
      </c>
      <c r="D180">
        <v>11.59</v>
      </c>
      <c r="E180">
        <v>11.64</v>
      </c>
      <c r="F180">
        <v>11.64</v>
      </c>
      <c r="G180">
        <v>10503260</v>
      </c>
    </row>
    <row r="181" spans="1:7" x14ac:dyDescent="0.2">
      <c r="A181" s="1">
        <v>45301</v>
      </c>
      <c r="B181">
        <v>11.65</v>
      </c>
      <c r="C181">
        <v>11.654999999999999</v>
      </c>
      <c r="D181">
        <v>11.585000000000001</v>
      </c>
      <c r="E181">
        <v>11.605</v>
      </c>
      <c r="F181">
        <v>11.605</v>
      </c>
      <c r="G181">
        <v>12543567</v>
      </c>
    </row>
    <row r="182" spans="1:7" x14ac:dyDescent="0.2">
      <c r="A182" s="1">
        <v>45302</v>
      </c>
      <c r="B182">
        <v>11.65</v>
      </c>
      <c r="C182">
        <v>11.715</v>
      </c>
      <c r="D182">
        <v>11.51</v>
      </c>
      <c r="E182">
        <v>11.52</v>
      </c>
      <c r="F182">
        <v>11.52</v>
      </c>
      <c r="G182">
        <v>9003574</v>
      </c>
    </row>
    <row r="183" spans="1:7" x14ac:dyDescent="0.2">
      <c r="A183" s="1">
        <v>45303</v>
      </c>
      <c r="B183">
        <v>11.574999999999999</v>
      </c>
      <c r="C183">
        <v>11.685</v>
      </c>
      <c r="D183">
        <v>11.574999999999999</v>
      </c>
      <c r="E183">
        <v>11.675000000000001</v>
      </c>
      <c r="F183">
        <v>11.675000000000001</v>
      </c>
      <c r="G183">
        <v>7794136</v>
      </c>
    </row>
    <row r="184" spans="1:7" x14ac:dyDescent="0.2">
      <c r="A184" s="1">
        <v>45306</v>
      </c>
      <c r="B184">
        <v>11.64</v>
      </c>
      <c r="C184">
        <v>11.67</v>
      </c>
      <c r="D184">
        <v>11.56</v>
      </c>
      <c r="E184">
        <v>11.664999999999999</v>
      </c>
      <c r="F184">
        <v>11.664999999999999</v>
      </c>
      <c r="G184">
        <v>17633594</v>
      </c>
    </row>
    <row r="185" spans="1:7" x14ac:dyDescent="0.2">
      <c r="A185" s="1">
        <v>45307</v>
      </c>
      <c r="B185">
        <v>11.63</v>
      </c>
      <c r="C185">
        <v>11.64</v>
      </c>
      <c r="D185">
        <v>11.55</v>
      </c>
      <c r="E185">
        <v>11.55</v>
      </c>
      <c r="F185">
        <v>11.55</v>
      </c>
      <c r="G185">
        <v>9228465</v>
      </c>
    </row>
    <row r="186" spans="1:7" x14ac:dyDescent="0.2">
      <c r="A186" s="1">
        <v>45308</v>
      </c>
      <c r="B186">
        <v>11.5</v>
      </c>
      <c r="C186">
        <v>11.5</v>
      </c>
      <c r="D186">
        <v>11.395</v>
      </c>
      <c r="E186">
        <v>11.45</v>
      </c>
      <c r="F186">
        <v>11.45</v>
      </c>
      <c r="G186">
        <v>11832891</v>
      </c>
    </row>
    <row r="187" spans="1:7" x14ac:dyDescent="0.2">
      <c r="A187" s="1">
        <v>45309</v>
      </c>
      <c r="B187">
        <v>11.395</v>
      </c>
      <c r="C187">
        <v>11.41</v>
      </c>
      <c r="D187">
        <v>11.25</v>
      </c>
      <c r="E187">
        <v>11.265000000000001</v>
      </c>
      <c r="F187">
        <v>11.265000000000001</v>
      </c>
      <c r="G187">
        <v>11463479</v>
      </c>
    </row>
    <row r="188" spans="1:7" x14ac:dyDescent="0.2">
      <c r="A188" s="1">
        <v>45310</v>
      </c>
      <c r="B188">
        <v>11.23</v>
      </c>
      <c r="C188">
        <v>11.27</v>
      </c>
      <c r="D188">
        <v>11.154999999999999</v>
      </c>
      <c r="E188">
        <v>11.22</v>
      </c>
      <c r="F188">
        <v>11.22</v>
      </c>
      <c r="G188">
        <v>10024791</v>
      </c>
    </row>
    <row r="189" spans="1:7" x14ac:dyDescent="0.2">
      <c r="A189" s="1">
        <v>45313</v>
      </c>
      <c r="B189">
        <v>11.234999999999999</v>
      </c>
      <c r="C189">
        <v>11.29</v>
      </c>
      <c r="D189">
        <v>11.17</v>
      </c>
      <c r="E189">
        <v>11.26</v>
      </c>
      <c r="F189">
        <v>11.26</v>
      </c>
      <c r="G189">
        <v>5955382</v>
      </c>
    </row>
    <row r="190" spans="1:7" x14ac:dyDescent="0.2">
      <c r="A190" s="1">
        <v>45314</v>
      </c>
      <c r="B190">
        <v>11.215</v>
      </c>
      <c r="C190">
        <v>11.244999999999999</v>
      </c>
      <c r="D190">
        <v>11.05</v>
      </c>
      <c r="E190">
        <v>11.05</v>
      </c>
      <c r="F190">
        <v>11.05</v>
      </c>
      <c r="G190">
        <v>18914062</v>
      </c>
    </row>
    <row r="191" spans="1:7" x14ac:dyDescent="0.2">
      <c r="A191" s="1">
        <v>45315</v>
      </c>
      <c r="B191">
        <v>11.055</v>
      </c>
      <c r="C191">
        <v>11.17</v>
      </c>
      <c r="D191">
        <v>11.05</v>
      </c>
      <c r="E191">
        <v>11.125</v>
      </c>
      <c r="F191">
        <v>11.125</v>
      </c>
      <c r="G191">
        <v>8548141</v>
      </c>
    </row>
    <row r="192" spans="1:7" x14ac:dyDescent="0.2">
      <c r="A192" s="1">
        <v>45316</v>
      </c>
      <c r="B192">
        <v>11.16</v>
      </c>
      <c r="C192">
        <v>11.16</v>
      </c>
      <c r="D192">
        <v>11.005000000000001</v>
      </c>
      <c r="E192">
        <v>11.07</v>
      </c>
      <c r="F192">
        <v>11.07</v>
      </c>
      <c r="G192">
        <v>8100965</v>
      </c>
    </row>
    <row r="193" spans="1:7" x14ac:dyDescent="0.2">
      <c r="A193" s="1">
        <v>45317</v>
      </c>
      <c r="B193">
        <v>11.095000000000001</v>
      </c>
      <c r="C193">
        <v>11.185</v>
      </c>
      <c r="D193">
        <v>10.925000000000001</v>
      </c>
      <c r="E193">
        <v>10.97</v>
      </c>
      <c r="F193">
        <v>10.97</v>
      </c>
      <c r="G193">
        <v>10689636</v>
      </c>
    </row>
    <row r="194" spans="1:7" x14ac:dyDescent="0.2">
      <c r="A194" s="1">
        <v>45320</v>
      </c>
      <c r="B194">
        <v>10.99</v>
      </c>
      <c r="C194">
        <v>11.03</v>
      </c>
      <c r="D194">
        <v>10.904999999999999</v>
      </c>
      <c r="E194">
        <v>11.02</v>
      </c>
      <c r="F194">
        <v>11.02</v>
      </c>
      <c r="G194">
        <v>18069394</v>
      </c>
    </row>
    <row r="195" spans="1:7" x14ac:dyDescent="0.2">
      <c r="A195" s="1">
        <v>45321</v>
      </c>
      <c r="B195">
        <v>11.015000000000001</v>
      </c>
      <c r="C195">
        <v>11.135</v>
      </c>
      <c r="D195">
        <v>10.965</v>
      </c>
      <c r="E195">
        <v>11.095000000000001</v>
      </c>
      <c r="F195">
        <v>11.095000000000001</v>
      </c>
      <c r="G195">
        <v>7862563</v>
      </c>
    </row>
    <row r="196" spans="1:7" x14ac:dyDescent="0.2">
      <c r="A196" s="1">
        <v>45322</v>
      </c>
      <c r="B196">
        <v>11.09</v>
      </c>
      <c r="C196">
        <v>11.22</v>
      </c>
      <c r="D196">
        <v>11.05</v>
      </c>
      <c r="E196">
        <v>11.175000000000001</v>
      </c>
      <c r="F196">
        <v>11.175000000000001</v>
      </c>
      <c r="G196">
        <v>12538956</v>
      </c>
    </row>
    <row r="197" spans="1:7" x14ac:dyDescent="0.2">
      <c r="A197" s="1">
        <v>45323</v>
      </c>
      <c r="B197">
        <v>11.085000000000001</v>
      </c>
      <c r="C197">
        <v>11.21</v>
      </c>
      <c r="D197">
        <v>11.04</v>
      </c>
      <c r="E197">
        <v>11.125</v>
      </c>
      <c r="F197">
        <v>11.125</v>
      </c>
      <c r="G197">
        <v>9367206</v>
      </c>
    </row>
    <row r="198" spans="1:7" x14ac:dyDescent="0.2">
      <c r="A198" s="1">
        <v>45324</v>
      </c>
      <c r="B198">
        <v>11.2</v>
      </c>
      <c r="C198">
        <v>11.22</v>
      </c>
      <c r="D198">
        <v>11.035</v>
      </c>
      <c r="E198">
        <v>11.05</v>
      </c>
      <c r="F198">
        <v>11.05</v>
      </c>
      <c r="G198">
        <v>7954713</v>
      </c>
    </row>
    <row r="199" spans="1:7" x14ac:dyDescent="0.2">
      <c r="A199" s="1">
        <v>45327</v>
      </c>
      <c r="B199">
        <v>11.015000000000001</v>
      </c>
      <c r="C199">
        <v>11.29</v>
      </c>
      <c r="D199">
        <v>10.99</v>
      </c>
      <c r="E199">
        <v>11.015000000000001</v>
      </c>
      <c r="F199">
        <v>11.015000000000001</v>
      </c>
      <c r="G199">
        <v>10324964</v>
      </c>
    </row>
    <row r="200" spans="1:7" x14ac:dyDescent="0.2">
      <c r="A200" s="1">
        <v>45328</v>
      </c>
      <c r="B200">
        <v>10.97</v>
      </c>
      <c r="C200">
        <v>11</v>
      </c>
      <c r="D200">
        <v>10.715</v>
      </c>
      <c r="E200">
        <v>10.8</v>
      </c>
      <c r="F200">
        <v>10.8</v>
      </c>
      <c r="G200">
        <v>18426065</v>
      </c>
    </row>
    <row r="201" spans="1:7" x14ac:dyDescent="0.2">
      <c r="A201" s="1">
        <v>45329</v>
      </c>
      <c r="B201">
        <v>10.824999999999999</v>
      </c>
      <c r="C201">
        <v>10.865</v>
      </c>
      <c r="D201">
        <v>10.61</v>
      </c>
      <c r="E201">
        <v>10.67</v>
      </c>
      <c r="F201">
        <v>10.67</v>
      </c>
      <c r="G201">
        <v>18201311</v>
      </c>
    </row>
    <row r="202" spans="1:7" x14ac:dyDescent="0.2">
      <c r="A202" s="1">
        <v>45330</v>
      </c>
      <c r="B202">
        <v>10.62</v>
      </c>
      <c r="C202">
        <v>10.71</v>
      </c>
      <c r="D202">
        <v>10.58</v>
      </c>
      <c r="E202">
        <v>10.62</v>
      </c>
      <c r="F202">
        <v>10.62</v>
      </c>
      <c r="G202">
        <v>17707215</v>
      </c>
    </row>
    <row r="203" spans="1:7" x14ac:dyDescent="0.2">
      <c r="A203" s="1">
        <v>45331</v>
      </c>
      <c r="B203">
        <v>10.645</v>
      </c>
      <c r="C203">
        <v>10.715</v>
      </c>
      <c r="D203">
        <v>10.58</v>
      </c>
      <c r="E203">
        <v>10.69</v>
      </c>
      <c r="F203">
        <v>10.69</v>
      </c>
      <c r="G203">
        <v>13413610</v>
      </c>
    </row>
    <row r="204" spans="1:7" x14ac:dyDescent="0.2">
      <c r="A204" s="1">
        <v>45334</v>
      </c>
      <c r="B204">
        <v>10.695</v>
      </c>
      <c r="C204">
        <v>10.81</v>
      </c>
      <c r="D204">
        <v>10.695</v>
      </c>
      <c r="E204">
        <v>10.785</v>
      </c>
      <c r="F204">
        <v>10.785</v>
      </c>
      <c r="G204">
        <v>6422406</v>
      </c>
    </row>
    <row r="205" spans="1:7" x14ac:dyDescent="0.2">
      <c r="A205" s="1">
        <v>45335</v>
      </c>
      <c r="B205">
        <v>10.81</v>
      </c>
      <c r="C205">
        <v>10.925000000000001</v>
      </c>
      <c r="D205">
        <v>10.74</v>
      </c>
      <c r="E205">
        <v>10.765000000000001</v>
      </c>
      <c r="F205">
        <v>10.765000000000001</v>
      </c>
      <c r="G205">
        <v>7515365</v>
      </c>
    </row>
    <row r="206" spans="1:7" x14ac:dyDescent="0.2">
      <c r="A206" s="1">
        <v>45336</v>
      </c>
      <c r="B206">
        <v>10.755000000000001</v>
      </c>
      <c r="C206">
        <v>10.85</v>
      </c>
      <c r="D206">
        <v>10.72</v>
      </c>
      <c r="E206">
        <v>10.785</v>
      </c>
      <c r="F206">
        <v>10.785</v>
      </c>
      <c r="G206">
        <v>5776969</v>
      </c>
    </row>
    <row r="207" spans="1:7" x14ac:dyDescent="0.2">
      <c r="A207" s="1">
        <v>45337</v>
      </c>
      <c r="B207">
        <v>10.78</v>
      </c>
      <c r="C207">
        <v>10.895</v>
      </c>
      <c r="D207">
        <v>10.775</v>
      </c>
      <c r="E207">
        <v>10.855</v>
      </c>
      <c r="F207">
        <v>10.855</v>
      </c>
      <c r="G207">
        <v>9607135</v>
      </c>
    </row>
    <row r="208" spans="1:7" x14ac:dyDescent="0.2">
      <c r="A208" s="1">
        <v>45338</v>
      </c>
      <c r="B208">
        <v>10.91</v>
      </c>
      <c r="C208">
        <v>10.91</v>
      </c>
      <c r="D208">
        <v>10.705</v>
      </c>
      <c r="E208">
        <v>10.775</v>
      </c>
      <c r="F208">
        <v>10.775</v>
      </c>
      <c r="G208">
        <v>9084233</v>
      </c>
    </row>
    <row r="209" spans="1:7" x14ac:dyDescent="0.2">
      <c r="A209" s="1">
        <v>45341</v>
      </c>
      <c r="B209">
        <v>10.8</v>
      </c>
      <c r="C209">
        <v>10.875</v>
      </c>
      <c r="D209">
        <v>10.7</v>
      </c>
      <c r="E209">
        <v>10.795</v>
      </c>
      <c r="F209">
        <v>10.795</v>
      </c>
      <c r="G209">
        <v>5089314</v>
      </c>
    </row>
    <row r="210" spans="1:7" x14ac:dyDescent="0.2">
      <c r="A210" s="1">
        <v>45342</v>
      </c>
      <c r="B210">
        <v>10.79</v>
      </c>
      <c r="C210">
        <v>10.935</v>
      </c>
      <c r="D210">
        <v>10.755000000000001</v>
      </c>
      <c r="E210">
        <v>10.9</v>
      </c>
      <c r="F210">
        <v>10.9</v>
      </c>
      <c r="G210">
        <v>11460239</v>
      </c>
    </row>
    <row r="211" spans="1:7" x14ac:dyDescent="0.2">
      <c r="A211" s="1">
        <v>45343</v>
      </c>
      <c r="B211">
        <v>10.9</v>
      </c>
      <c r="C211">
        <v>10.98</v>
      </c>
      <c r="D211">
        <v>10.855</v>
      </c>
      <c r="E211">
        <v>10.935</v>
      </c>
      <c r="F211">
        <v>10.935</v>
      </c>
      <c r="G211">
        <v>7399749</v>
      </c>
    </row>
    <row r="212" spans="1:7" x14ac:dyDescent="0.2">
      <c r="A212" s="1">
        <v>45344</v>
      </c>
      <c r="B212">
        <v>10.935</v>
      </c>
      <c r="C212">
        <v>11.01</v>
      </c>
      <c r="D212">
        <v>10.68</v>
      </c>
      <c r="E212">
        <v>10.75</v>
      </c>
      <c r="F212">
        <v>10.75</v>
      </c>
      <c r="G212">
        <v>24325282</v>
      </c>
    </row>
    <row r="213" spans="1:7" x14ac:dyDescent="0.2">
      <c r="A213" s="1">
        <v>45345</v>
      </c>
      <c r="B213">
        <v>10.7</v>
      </c>
      <c r="C213">
        <v>10.734999999999999</v>
      </c>
      <c r="D213">
        <v>10.57</v>
      </c>
      <c r="E213">
        <v>10.63</v>
      </c>
      <c r="F213">
        <v>10.63</v>
      </c>
      <c r="G213">
        <v>12529113</v>
      </c>
    </row>
    <row r="214" spans="1:7" x14ac:dyDescent="0.2">
      <c r="A214" s="1">
        <v>45348</v>
      </c>
      <c r="B214">
        <v>10.62</v>
      </c>
      <c r="C214">
        <v>10.635</v>
      </c>
      <c r="D214">
        <v>10.494999999999999</v>
      </c>
      <c r="E214">
        <v>10.515000000000001</v>
      </c>
      <c r="F214">
        <v>10.515000000000001</v>
      </c>
      <c r="G214">
        <v>5578766</v>
      </c>
    </row>
    <row r="215" spans="1:7" x14ac:dyDescent="0.2">
      <c r="A215" s="1">
        <v>45349</v>
      </c>
      <c r="B215">
        <v>10.5</v>
      </c>
      <c r="C215">
        <v>10.57</v>
      </c>
      <c r="D215">
        <v>10.414999999999999</v>
      </c>
      <c r="E215">
        <v>10.535</v>
      </c>
      <c r="F215">
        <v>10.535</v>
      </c>
      <c r="G215">
        <v>7398157</v>
      </c>
    </row>
    <row r="216" spans="1:7" x14ac:dyDescent="0.2">
      <c r="A216" s="1">
        <v>45350</v>
      </c>
      <c r="B216">
        <v>10.54</v>
      </c>
      <c r="C216">
        <v>10.565</v>
      </c>
      <c r="D216">
        <v>10.425000000000001</v>
      </c>
      <c r="E216">
        <v>10.48</v>
      </c>
      <c r="F216">
        <v>10.48</v>
      </c>
      <c r="G216">
        <v>8208126</v>
      </c>
    </row>
    <row r="217" spans="1:7" x14ac:dyDescent="0.2">
      <c r="A217" s="1">
        <v>45351</v>
      </c>
      <c r="B217">
        <v>10.494999999999999</v>
      </c>
      <c r="C217">
        <v>10.675000000000001</v>
      </c>
      <c r="D217">
        <v>10.484999999999999</v>
      </c>
      <c r="E217">
        <v>10.62</v>
      </c>
      <c r="F217">
        <v>10.62</v>
      </c>
      <c r="G217">
        <v>21951837</v>
      </c>
    </row>
    <row r="218" spans="1:7" x14ac:dyDescent="0.2">
      <c r="A218" s="1">
        <v>45352</v>
      </c>
      <c r="B218">
        <v>10.595000000000001</v>
      </c>
      <c r="C218">
        <v>10.69</v>
      </c>
      <c r="D218">
        <v>10.455</v>
      </c>
      <c r="E218">
        <v>10.505000000000001</v>
      </c>
      <c r="F218">
        <v>10.505000000000001</v>
      </c>
      <c r="G218">
        <v>7428634</v>
      </c>
    </row>
    <row r="219" spans="1:7" x14ac:dyDescent="0.2">
      <c r="A219" s="1">
        <v>45355</v>
      </c>
      <c r="B219">
        <v>10.585000000000001</v>
      </c>
      <c r="C219">
        <v>10.625</v>
      </c>
      <c r="D219">
        <v>10.47</v>
      </c>
      <c r="E219">
        <v>10.58</v>
      </c>
      <c r="F219">
        <v>10.58</v>
      </c>
      <c r="G219">
        <v>5505072</v>
      </c>
    </row>
    <row r="220" spans="1:7" x14ac:dyDescent="0.2">
      <c r="A220" s="1">
        <v>45356</v>
      </c>
      <c r="B220">
        <v>10.6</v>
      </c>
      <c r="C220">
        <v>10.755000000000001</v>
      </c>
      <c r="D220">
        <v>10.51</v>
      </c>
      <c r="E220">
        <v>10.755000000000001</v>
      </c>
      <c r="F220">
        <v>10.755000000000001</v>
      </c>
      <c r="G220">
        <v>11909190</v>
      </c>
    </row>
    <row r="221" spans="1:7" x14ac:dyDescent="0.2">
      <c r="A221" s="1">
        <v>45357</v>
      </c>
      <c r="B221">
        <v>10.73</v>
      </c>
      <c r="C221">
        <v>10.955</v>
      </c>
      <c r="D221">
        <v>10.73</v>
      </c>
      <c r="E221">
        <v>10.815</v>
      </c>
      <c r="F221">
        <v>10.815</v>
      </c>
      <c r="G221">
        <v>11586567</v>
      </c>
    </row>
    <row r="222" spans="1:7" x14ac:dyDescent="0.2">
      <c r="A222" s="1">
        <v>45358</v>
      </c>
      <c r="B222">
        <v>10.8</v>
      </c>
      <c r="C222">
        <v>11.154999999999999</v>
      </c>
      <c r="D222">
        <v>10.8</v>
      </c>
      <c r="E222">
        <v>11.1</v>
      </c>
      <c r="F222">
        <v>11.1</v>
      </c>
      <c r="G222">
        <v>14304166</v>
      </c>
    </row>
    <row r="223" spans="1:7" x14ac:dyDescent="0.2">
      <c r="A223" s="1">
        <v>45359</v>
      </c>
      <c r="B223">
        <v>10.994999999999999</v>
      </c>
      <c r="C223">
        <v>11.095000000000001</v>
      </c>
      <c r="D223">
        <v>10.965</v>
      </c>
      <c r="E223">
        <v>10.984999999999999</v>
      </c>
      <c r="F223">
        <v>10.984999999999999</v>
      </c>
      <c r="G223">
        <v>8103111</v>
      </c>
    </row>
    <row r="224" spans="1:7" x14ac:dyDescent="0.2">
      <c r="A224" s="1">
        <v>45362</v>
      </c>
      <c r="B224">
        <v>11.005000000000001</v>
      </c>
      <c r="C224">
        <v>11.105</v>
      </c>
      <c r="D224">
        <v>10.955</v>
      </c>
      <c r="E224">
        <v>11.045</v>
      </c>
      <c r="F224">
        <v>11.045</v>
      </c>
      <c r="G224">
        <v>6814176</v>
      </c>
    </row>
    <row r="225" spans="1:7" x14ac:dyDescent="0.2">
      <c r="A225" s="1">
        <v>45363</v>
      </c>
      <c r="B225">
        <v>11.07</v>
      </c>
      <c r="C225">
        <v>11.1</v>
      </c>
      <c r="D225">
        <v>10.855</v>
      </c>
      <c r="E225">
        <v>10.855</v>
      </c>
      <c r="F225">
        <v>10.855</v>
      </c>
      <c r="G225">
        <v>15998666</v>
      </c>
    </row>
    <row r="226" spans="1:7" x14ac:dyDescent="0.2">
      <c r="A226" s="1">
        <v>45364</v>
      </c>
      <c r="B226">
        <v>10.94</v>
      </c>
      <c r="C226">
        <v>11.065</v>
      </c>
      <c r="D226">
        <v>10.925000000000001</v>
      </c>
      <c r="E226">
        <v>10.96</v>
      </c>
      <c r="F226">
        <v>10.96</v>
      </c>
      <c r="G226">
        <v>33352970</v>
      </c>
    </row>
    <row r="227" spans="1:7" x14ac:dyDescent="0.2">
      <c r="A227" s="1">
        <v>45365</v>
      </c>
      <c r="B227">
        <v>10.955</v>
      </c>
      <c r="C227">
        <v>11.04</v>
      </c>
      <c r="D227">
        <v>10.765000000000001</v>
      </c>
      <c r="E227">
        <v>10.83</v>
      </c>
      <c r="F227">
        <v>10.83</v>
      </c>
      <c r="G227">
        <v>9646791</v>
      </c>
    </row>
    <row r="228" spans="1:7" x14ac:dyDescent="0.2">
      <c r="A228" s="1">
        <v>45366</v>
      </c>
      <c r="B228">
        <v>10.88</v>
      </c>
      <c r="C228">
        <v>11.055</v>
      </c>
      <c r="D228">
        <v>10.875</v>
      </c>
      <c r="E228">
        <v>10.98</v>
      </c>
      <c r="F228">
        <v>10.98</v>
      </c>
      <c r="G228">
        <v>36429658</v>
      </c>
    </row>
    <row r="229" spans="1:7" x14ac:dyDescent="0.2">
      <c r="A229" s="1">
        <v>45369</v>
      </c>
      <c r="B229">
        <v>10.96</v>
      </c>
      <c r="C229">
        <v>11.055</v>
      </c>
      <c r="D229">
        <v>10.92</v>
      </c>
      <c r="E229">
        <v>10.984999999999999</v>
      </c>
      <c r="F229">
        <v>10.984999999999999</v>
      </c>
      <c r="G229">
        <v>9119077</v>
      </c>
    </row>
    <row r="230" spans="1:7" x14ac:dyDescent="0.2">
      <c r="A230" s="1">
        <v>45370</v>
      </c>
      <c r="B230">
        <v>10.955</v>
      </c>
      <c r="C230">
        <v>11.005000000000001</v>
      </c>
      <c r="D230">
        <v>10.89</v>
      </c>
      <c r="E230">
        <v>10.994999999999999</v>
      </c>
      <c r="F230">
        <v>10.994999999999999</v>
      </c>
      <c r="G230">
        <v>7058499</v>
      </c>
    </row>
    <row r="231" spans="1:7" x14ac:dyDescent="0.2">
      <c r="A231" s="1">
        <v>45371</v>
      </c>
      <c r="B231">
        <v>10.984999999999999</v>
      </c>
      <c r="C231">
        <v>11.115</v>
      </c>
      <c r="D231">
        <v>10.98</v>
      </c>
      <c r="E231">
        <v>11.074999999999999</v>
      </c>
      <c r="F231">
        <v>11.074999999999999</v>
      </c>
      <c r="G231">
        <v>7876003</v>
      </c>
    </row>
    <row r="232" spans="1:7" x14ac:dyDescent="0.2">
      <c r="A232" s="1">
        <v>45372</v>
      </c>
      <c r="B232">
        <v>11.085000000000001</v>
      </c>
      <c r="C232">
        <v>11.315</v>
      </c>
      <c r="D232">
        <v>11.055</v>
      </c>
      <c r="E232">
        <v>11.125</v>
      </c>
      <c r="F232">
        <v>11.125</v>
      </c>
      <c r="G232">
        <v>13983659</v>
      </c>
    </row>
    <row r="233" spans="1:7" x14ac:dyDescent="0.2">
      <c r="A233" s="1">
        <v>45373</v>
      </c>
      <c r="B233">
        <v>11.18</v>
      </c>
      <c r="C233">
        <v>11.32</v>
      </c>
      <c r="D233">
        <v>11.135</v>
      </c>
      <c r="E233">
        <v>11.29</v>
      </c>
      <c r="F233">
        <v>11.29</v>
      </c>
      <c r="G233">
        <v>8280649</v>
      </c>
    </row>
    <row r="234" spans="1:7" x14ac:dyDescent="0.2">
      <c r="A234" s="1">
        <v>45376</v>
      </c>
      <c r="B234">
        <v>11.295</v>
      </c>
      <c r="C234">
        <v>11.41</v>
      </c>
      <c r="D234">
        <v>11.255000000000001</v>
      </c>
      <c r="E234">
        <v>11.38</v>
      </c>
      <c r="F234">
        <v>11.38</v>
      </c>
      <c r="G234">
        <v>8302431</v>
      </c>
    </row>
    <row r="235" spans="1:7" x14ac:dyDescent="0.2">
      <c r="A235" s="1">
        <v>45377</v>
      </c>
      <c r="B235">
        <v>11.375</v>
      </c>
      <c r="C235">
        <v>11.47</v>
      </c>
      <c r="D235">
        <v>11.33</v>
      </c>
      <c r="E235">
        <v>11.435</v>
      </c>
      <c r="F235">
        <v>11.435</v>
      </c>
      <c r="G235">
        <v>18423211</v>
      </c>
    </row>
    <row r="236" spans="1:7" x14ac:dyDescent="0.2">
      <c r="A236" s="1">
        <v>45378</v>
      </c>
      <c r="B236">
        <v>11.46</v>
      </c>
      <c r="C236">
        <v>11.635</v>
      </c>
      <c r="D236">
        <v>11.375</v>
      </c>
      <c r="E236">
        <v>11.61</v>
      </c>
      <c r="F236">
        <v>11.61</v>
      </c>
      <c r="G236">
        <v>11590506</v>
      </c>
    </row>
    <row r="237" spans="1:7" x14ac:dyDescent="0.2">
      <c r="A237" s="1">
        <v>45379</v>
      </c>
      <c r="B237">
        <v>11.63</v>
      </c>
      <c r="C237">
        <v>11.635</v>
      </c>
      <c r="D237">
        <v>11.465</v>
      </c>
      <c r="E237">
        <v>11.494999999999999</v>
      </c>
      <c r="F237">
        <v>11.494999999999999</v>
      </c>
      <c r="G237">
        <v>15825378</v>
      </c>
    </row>
    <row r="238" spans="1:7" x14ac:dyDescent="0.2">
      <c r="A238" s="1">
        <v>45384</v>
      </c>
      <c r="B238">
        <v>11.435</v>
      </c>
      <c r="C238">
        <v>11.525</v>
      </c>
      <c r="D238">
        <v>11.375</v>
      </c>
      <c r="E238">
        <v>11.435</v>
      </c>
      <c r="F238">
        <v>11.435</v>
      </c>
      <c r="G238">
        <v>10154007</v>
      </c>
    </row>
    <row r="239" spans="1:7" x14ac:dyDescent="0.2">
      <c r="A239" s="1">
        <v>45385</v>
      </c>
      <c r="B239">
        <v>11.425000000000001</v>
      </c>
      <c r="C239">
        <v>11.46</v>
      </c>
      <c r="D239">
        <v>11.335000000000001</v>
      </c>
      <c r="E239">
        <v>11.41</v>
      </c>
      <c r="F239">
        <v>11.41</v>
      </c>
      <c r="G239">
        <v>7123155</v>
      </c>
    </row>
    <row r="240" spans="1:7" x14ac:dyDescent="0.2">
      <c r="A240" s="1">
        <v>45386</v>
      </c>
      <c r="B240">
        <v>11.43</v>
      </c>
      <c r="C240">
        <v>11.505000000000001</v>
      </c>
      <c r="D240">
        <v>11.41</v>
      </c>
      <c r="E240">
        <v>11.43</v>
      </c>
      <c r="F240">
        <v>11.43</v>
      </c>
      <c r="G240">
        <v>14329483</v>
      </c>
    </row>
    <row r="241" spans="1:7" x14ac:dyDescent="0.2">
      <c r="A241" s="1">
        <v>45387</v>
      </c>
      <c r="B241">
        <v>11.36</v>
      </c>
      <c r="C241">
        <v>11.44</v>
      </c>
      <c r="D241">
        <v>11.225</v>
      </c>
      <c r="E241">
        <v>11.25</v>
      </c>
      <c r="F241">
        <v>11.25</v>
      </c>
      <c r="G241">
        <v>11100976</v>
      </c>
    </row>
    <row r="242" spans="1:7" x14ac:dyDescent="0.2">
      <c r="A242" s="1">
        <v>45390</v>
      </c>
      <c r="B242">
        <v>11.234999999999999</v>
      </c>
      <c r="C242">
        <v>11.28</v>
      </c>
      <c r="D242">
        <v>11.16</v>
      </c>
      <c r="E242">
        <v>11.185</v>
      </c>
      <c r="F242">
        <v>11.185</v>
      </c>
      <c r="G242">
        <v>5552935</v>
      </c>
    </row>
    <row r="243" spans="1:7" x14ac:dyDescent="0.2">
      <c r="A243" s="1">
        <v>45391</v>
      </c>
      <c r="B243">
        <v>11.154999999999999</v>
      </c>
      <c r="C243">
        <v>11.22</v>
      </c>
      <c r="D243">
        <v>11.07</v>
      </c>
      <c r="E243">
        <v>11.125</v>
      </c>
      <c r="F243">
        <v>11.125</v>
      </c>
      <c r="G243">
        <v>7782836</v>
      </c>
    </row>
    <row r="244" spans="1:7" x14ac:dyDescent="0.2">
      <c r="A244" s="1">
        <v>45392</v>
      </c>
      <c r="B244">
        <v>11.215</v>
      </c>
      <c r="C244">
        <v>11.244999999999999</v>
      </c>
      <c r="D244">
        <v>10.885</v>
      </c>
      <c r="E244">
        <v>11.01</v>
      </c>
      <c r="F244">
        <v>11.01</v>
      </c>
      <c r="G244">
        <v>9610434</v>
      </c>
    </row>
    <row r="245" spans="1:7" x14ac:dyDescent="0.2">
      <c r="A245" s="1">
        <v>45393</v>
      </c>
      <c r="B245">
        <v>11.01</v>
      </c>
      <c r="C245">
        <v>11.23</v>
      </c>
      <c r="D245">
        <v>10.99</v>
      </c>
      <c r="E245">
        <v>11.125</v>
      </c>
      <c r="F245">
        <v>11.125</v>
      </c>
      <c r="G245">
        <v>9493482</v>
      </c>
    </row>
    <row r="246" spans="1:7" x14ac:dyDescent="0.2">
      <c r="A246" s="1">
        <v>45394</v>
      </c>
      <c r="B246">
        <v>11.205</v>
      </c>
      <c r="C246">
        <v>11.335000000000001</v>
      </c>
      <c r="D246">
        <v>11.17</v>
      </c>
      <c r="E246">
        <v>11.25</v>
      </c>
      <c r="F246">
        <v>11.25</v>
      </c>
      <c r="G246">
        <v>9700039</v>
      </c>
    </row>
    <row r="247" spans="1:7" x14ac:dyDescent="0.2">
      <c r="A247" s="1">
        <v>45397</v>
      </c>
      <c r="B247">
        <v>11.285</v>
      </c>
      <c r="C247">
        <v>11.35</v>
      </c>
      <c r="D247">
        <v>11.22</v>
      </c>
      <c r="E247">
        <v>11.26</v>
      </c>
      <c r="F247">
        <v>11.26</v>
      </c>
      <c r="G247">
        <v>8589375</v>
      </c>
    </row>
    <row r="248" spans="1:7" x14ac:dyDescent="0.2">
      <c r="A248" s="1">
        <v>45398</v>
      </c>
      <c r="B248">
        <v>11.2</v>
      </c>
      <c r="C248">
        <v>11.345000000000001</v>
      </c>
      <c r="D248">
        <v>11.105</v>
      </c>
      <c r="E248">
        <v>11.13</v>
      </c>
      <c r="F248">
        <v>11.13</v>
      </c>
      <c r="G248">
        <v>9940105</v>
      </c>
    </row>
    <row r="249" spans="1:7" x14ac:dyDescent="0.2">
      <c r="A249" s="1">
        <v>45399</v>
      </c>
      <c r="B249">
        <v>11.16</v>
      </c>
      <c r="C249">
        <v>11.35</v>
      </c>
      <c r="D249">
        <v>11.125</v>
      </c>
      <c r="E249">
        <v>11.21</v>
      </c>
      <c r="F249">
        <v>11.21</v>
      </c>
      <c r="G249">
        <v>19753646</v>
      </c>
    </row>
    <row r="250" spans="1:7" x14ac:dyDescent="0.2">
      <c r="A250" s="1">
        <v>45400</v>
      </c>
      <c r="B250">
        <v>11.324999999999999</v>
      </c>
      <c r="C250">
        <v>11.43</v>
      </c>
      <c r="D250">
        <v>11.295</v>
      </c>
      <c r="E250">
        <v>11.295</v>
      </c>
      <c r="F250">
        <v>11.295</v>
      </c>
      <c r="G250">
        <v>11628229</v>
      </c>
    </row>
    <row r="251" spans="1:7" x14ac:dyDescent="0.2">
      <c r="A251" s="1">
        <v>45401</v>
      </c>
      <c r="B251">
        <v>11.33</v>
      </c>
      <c r="C251">
        <v>11.414999999999999</v>
      </c>
      <c r="D251">
        <v>11.23</v>
      </c>
      <c r="E251">
        <v>11.34</v>
      </c>
      <c r="F251">
        <v>11.34</v>
      </c>
      <c r="G251">
        <v>47019115</v>
      </c>
    </row>
    <row r="252" spans="1:7" x14ac:dyDescent="0.2">
      <c r="A252" s="1">
        <v>45404</v>
      </c>
      <c r="B252">
        <v>11.46</v>
      </c>
      <c r="C252">
        <v>11.48</v>
      </c>
      <c r="D252">
        <v>11.29</v>
      </c>
      <c r="E252">
        <v>11.45</v>
      </c>
      <c r="F252">
        <v>11.45</v>
      </c>
      <c r="G252">
        <v>7766231</v>
      </c>
    </row>
    <row r="253" spans="1:7" x14ac:dyDescent="0.2">
      <c r="A253" s="1">
        <v>45405</v>
      </c>
      <c r="B253">
        <v>11.42</v>
      </c>
      <c r="C253">
        <v>11.57</v>
      </c>
      <c r="D253">
        <v>11.42</v>
      </c>
      <c r="E253">
        <v>11.54</v>
      </c>
      <c r="F253">
        <v>11.54</v>
      </c>
      <c r="G253">
        <v>8681730</v>
      </c>
    </row>
    <row r="254" spans="1:7" x14ac:dyDescent="0.2">
      <c r="A254" s="1">
        <v>45406</v>
      </c>
      <c r="B254">
        <v>11.65</v>
      </c>
      <c r="C254">
        <v>11.66</v>
      </c>
      <c r="D254">
        <v>11.4</v>
      </c>
      <c r="E254">
        <v>11.53</v>
      </c>
      <c r="F254">
        <v>11.53</v>
      </c>
      <c r="G254">
        <v>14836731</v>
      </c>
    </row>
    <row r="255" spans="1:7" x14ac:dyDescent="0.2">
      <c r="A255" s="1">
        <v>45407</v>
      </c>
      <c r="B255">
        <v>11.58</v>
      </c>
      <c r="C255">
        <v>11.585000000000001</v>
      </c>
      <c r="D255">
        <v>11.32</v>
      </c>
      <c r="E255">
        <v>11.46</v>
      </c>
      <c r="F255">
        <v>11.46</v>
      </c>
      <c r="G255">
        <v>13720999</v>
      </c>
    </row>
    <row r="256" spans="1:7" x14ac:dyDescent="0.2">
      <c r="A256" s="1">
        <v>45408</v>
      </c>
      <c r="B256">
        <v>11.52</v>
      </c>
      <c r="C256">
        <v>11.66</v>
      </c>
      <c r="D256">
        <v>11.515000000000001</v>
      </c>
      <c r="E256">
        <v>11.61</v>
      </c>
      <c r="F256">
        <v>11.61</v>
      </c>
      <c r="G256">
        <v>6730718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6"/>
  <sheetViews>
    <sheetView workbookViewId="0">
      <selection activeCell="J19" sqref="J19"/>
    </sheetView>
  </sheetViews>
  <sheetFormatPr baseColWidth="10" defaultRowHeight="15" x14ac:dyDescent="0.2"/>
  <cols>
    <col min="9" max="9" width="21.1640625" bestFit="1" customWidth="1"/>
    <col min="10" max="10" width="18.6640625" bestFit="1" customWidth="1"/>
    <col min="11" max="11" width="1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45044</v>
      </c>
      <c r="B2">
        <v>1.6930000000000001</v>
      </c>
      <c r="C2">
        <v>1.732</v>
      </c>
      <c r="D2">
        <v>1.6635</v>
      </c>
      <c r="E2">
        <v>1.7284999999999999</v>
      </c>
      <c r="F2">
        <v>1.7284999999999999</v>
      </c>
      <c r="G2">
        <v>8942608</v>
      </c>
    </row>
    <row r="3" spans="1:7" x14ac:dyDescent="0.2">
      <c r="A3" s="1">
        <v>45048</v>
      </c>
      <c r="B3">
        <v>1.74</v>
      </c>
      <c r="C3">
        <v>1.77</v>
      </c>
      <c r="D3">
        <v>1.7090000000000001</v>
      </c>
      <c r="E3">
        <v>1.7235</v>
      </c>
      <c r="F3">
        <v>1.7235</v>
      </c>
      <c r="G3">
        <v>13915974</v>
      </c>
    </row>
    <row r="4" spans="1:7" x14ac:dyDescent="0.2">
      <c r="A4" s="1">
        <v>45049</v>
      </c>
      <c r="B4">
        <v>1.736</v>
      </c>
      <c r="C4">
        <v>1.736</v>
      </c>
      <c r="D4">
        <v>1.6425000000000001</v>
      </c>
      <c r="E4">
        <v>1.6915</v>
      </c>
      <c r="F4">
        <v>1.6915</v>
      </c>
      <c r="G4">
        <v>12849260</v>
      </c>
    </row>
    <row r="5" spans="1:7" x14ac:dyDescent="0.2">
      <c r="A5" s="1">
        <v>45050</v>
      </c>
      <c r="B5">
        <v>1.6879999999999999</v>
      </c>
      <c r="C5">
        <v>1.6990000000000001</v>
      </c>
      <c r="D5">
        <v>1.65</v>
      </c>
      <c r="E5">
        <v>1.679</v>
      </c>
      <c r="F5">
        <v>1.679</v>
      </c>
      <c r="G5">
        <v>8788590</v>
      </c>
    </row>
    <row r="6" spans="1:7" x14ac:dyDescent="0.2">
      <c r="A6" s="1">
        <v>45051</v>
      </c>
      <c r="B6">
        <v>1.7364999999999999</v>
      </c>
      <c r="C6">
        <v>1.778</v>
      </c>
      <c r="D6">
        <v>1.6765000000000001</v>
      </c>
      <c r="E6">
        <v>1.72</v>
      </c>
      <c r="F6">
        <v>1.72</v>
      </c>
      <c r="G6">
        <v>19397187</v>
      </c>
    </row>
    <row r="7" spans="1:7" x14ac:dyDescent="0.2">
      <c r="A7" s="1">
        <v>45054</v>
      </c>
      <c r="B7">
        <v>1.7224999999999999</v>
      </c>
      <c r="C7">
        <v>1.738</v>
      </c>
      <c r="D7">
        <v>1.7150000000000001</v>
      </c>
      <c r="E7">
        <v>1.7215</v>
      </c>
      <c r="F7">
        <v>1.7215</v>
      </c>
      <c r="G7">
        <v>4572490</v>
      </c>
    </row>
    <row r="8" spans="1:7" x14ac:dyDescent="0.2">
      <c r="A8" s="1">
        <v>45055</v>
      </c>
      <c r="B8">
        <v>1.7450000000000001</v>
      </c>
      <c r="C8">
        <v>1.7929999999999999</v>
      </c>
      <c r="D8">
        <v>1.7330000000000001</v>
      </c>
      <c r="E8">
        <v>1.7895000000000001</v>
      </c>
      <c r="F8">
        <v>1.7895000000000001</v>
      </c>
      <c r="G8">
        <v>15588924</v>
      </c>
    </row>
    <row r="9" spans="1:7" x14ac:dyDescent="0.2">
      <c r="A9" s="1">
        <v>45056</v>
      </c>
      <c r="B9">
        <v>1.7929999999999999</v>
      </c>
      <c r="C9">
        <v>1.7969999999999999</v>
      </c>
      <c r="D9">
        <v>1.7669999999999999</v>
      </c>
      <c r="E9">
        <v>1.7755000000000001</v>
      </c>
      <c r="F9">
        <v>1.7755000000000001</v>
      </c>
      <c r="G9">
        <v>8438223</v>
      </c>
    </row>
    <row r="10" spans="1:7" x14ac:dyDescent="0.2">
      <c r="A10" s="1">
        <v>45057</v>
      </c>
      <c r="B10">
        <v>1.77</v>
      </c>
      <c r="C10">
        <v>1.804</v>
      </c>
      <c r="D10">
        <v>1.7655000000000001</v>
      </c>
      <c r="E10">
        <v>1.7729999999999999</v>
      </c>
      <c r="F10">
        <v>1.7729999999999999</v>
      </c>
      <c r="G10">
        <v>9820833</v>
      </c>
    </row>
    <row r="11" spans="1:7" x14ac:dyDescent="0.2">
      <c r="A11" s="1">
        <v>45058</v>
      </c>
      <c r="B11">
        <v>1.792</v>
      </c>
      <c r="C11">
        <v>1.798</v>
      </c>
      <c r="D11">
        <v>1.7685</v>
      </c>
      <c r="E11">
        <v>1.7749999999999999</v>
      </c>
      <c r="F11">
        <v>1.7749999999999999</v>
      </c>
      <c r="G11">
        <v>4990421</v>
      </c>
    </row>
    <row r="12" spans="1:7" x14ac:dyDescent="0.2">
      <c r="A12" s="1">
        <v>45061</v>
      </c>
      <c r="B12">
        <v>1.7889999999999999</v>
      </c>
      <c r="C12">
        <v>1.796</v>
      </c>
      <c r="D12">
        <v>1.766</v>
      </c>
      <c r="E12">
        <v>1.7785</v>
      </c>
      <c r="F12">
        <v>1.7785</v>
      </c>
      <c r="G12">
        <v>4582742</v>
      </c>
    </row>
    <row r="13" spans="1:7" x14ac:dyDescent="0.2">
      <c r="A13" s="1">
        <v>45062</v>
      </c>
      <c r="B13">
        <v>1.7709999999999999</v>
      </c>
      <c r="C13">
        <v>1.7945</v>
      </c>
      <c r="D13">
        <v>1.75</v>
      </c>
      <c r="E13">
        <v>1.7875000000000001</v>
      </c>
      <c r="F13">
        <v>1.7875000000000001</v>
      </c>
      <c r="G13">
        <v>5915099</v>
      </c>
    </row>
    <row r="14" spans="1:7" x14ac:dyDescent="0.2">
      <c r="A14" s="1">
        <v>45063</v>
      </c>
      <c r="B14">
        <v>1.7755000000000001</v>
      </c>
      <c r="C14">
        <v>1.8380000000000001</v>
      </c>
      <c r="D14">
        <v>1.7745</v>
      </c>
      <c r="E14">
        <v>1.8314999999999999</v>
      </c>
      <c r="F14">
        <v>1.8314999999999999</v>
      </c>
      <c r="G14">
        <v>17141879</v>
      </c>
    </row>
    <row r="15" spans="1:7" x14ac:dyDescent="0.2">
      <c r="A15" s="1">
        <v>45064</v>
      </c>
      <c r="B15">
        <v>1.84</v>
      </c>
      <c r="C15">
        <v>1.8640000000000001</v>
      </c>
      <c r="D15">
        <v>1.835</v>
      </c>
      <c r="E15">
        <v>1.8460000000000001</v>
      </c>
      <c r="F15">
        <v>1.8460000000000001</v>
      </c>
      <c r="G15">
        <v>12142375</v>
      </c>
    </row>
    <row r="16" spans="1:7" x14ac:dyDescent="0.2">
      <c r="A16" s="1">
        <v>45065</v>
      </c>
      <c r="B16">
        <v>1.8580000000000001</v>
      </c>
      <c r="C16">
        <v>1.8660000000000001</v>
      </c>
      <c r="D16">
        <v>1.8149999999999999</v>
      </c>
      <c r="E16">
        <v>1.8149999999999999</v>
      </c>
      <c r="F16">
        <v>1.8149999999999999</v>
      </c>
      <c r="G16">
        <v>9984643</v>
      </c>
    </row>
    <row r="17" spans="1:9" x14ac:dyDescent="0.2">
      <c r="A17" s="1">
        <v>45068</v>
      </c>
      <c r="B17">
        <v>1.8165</v>
      </c>
      <c r="C17">
        <v>1.8460000000000001</v>
      </c>
      <c r="D17">
        <v>1.8165</v>
      </c>
      <c r="E17">
        <v>1.8274999999999999</v>
      </c>
      <c r="F17">
        <v>1.8274999999999999</v>
      </c>
      <c r="G17">
        <v>6236146</v>
      </c>
    </row>
    <row r="18" spans="1:9" x14ac:dyDescent="0.2">
      <c r="A18" s="1">
        <v>45069</v>
      </c>
      <c r="B18">
        <v>1.8174999999999999</v>
      </c>
      <c r="C18">
        <v>1.8460000000000001</v>
      </c>
      <c r="D18">
        <v>1.8049999999999999</v>
      </c>
      <c r="E18">
        <v>1.8325</v>
      </c>
      <c r="F18">
        <v>1.8325</v>
      </c>
      <c r="G18">
        <v>8016989</v>
      </c>
    </row>
    <row r="19" spans="1:9" x14ac:dyDescent="0.2">
      <c r="A19" s="1">
        <v>45070</v>
      </c>
      <c r="B19">
        <v>1.81</v>
      </c>
      <c r="C19">
        <v>1.8169999999999999</v>
      </c>
      <c r="D19">
        <v>1.7869999999999999</v>
      </c>
      <c r="E19">
        <v>1.8080000000000001</v>
      </c>
      <c r="F19">
        <v>1.8080000000000001</v>
      </c>
      <c r="G19">
        <v>9701398</v>
      </c>
    </row>
    <row r="20" spans="1:9" x14ac:dyDescent="0.2">
      <c r="A20" s="1">
        <v>45071</v>
      </c>
      <c r="B20">
        <v>1.81</v>
      </c>
      <c r="C20">
        <v>1.837</v>
      </c>
      <c r="D20">
        <v>1.7935000000000001</v>
      </c>
      <c r="E20">
        <v>1.8125</v>
      </c>
      <c r="F20">
        <v>1.8125</v>
      </c>
      <c r="G20">
        <v>8026024</v>
      </c>
      <c r="I20" s="2"/>
    </row>
    <row r="21" spans="1:9" x14ac:dyDescent="0.2">
      <c r="A21" s="1">
        <v>45072</v>
      </c>
      <c r="B21">
        <v>1.82</v>
      </c>
      <c r="C21">
        <v>1.82</v>
      </c>
      <c r="D21">
        <v>1.7825</v>
      </c>
      <c r="E21">
        <v>1.8075000000000001</v>
      </c>
      <c r="F21">
        <v>1.8075000000000001</v>
      </c>
      <c r="G21">
        <v>6103209</v>
      </c>
    </row>
    <row r="22" spans="1:9" x14ac:dyDescent="0.2">
      <c r="A22" s="1">
        <v>45075</v>
      </c>
      <c r="B22">
        <v>1.8194999999999999</v>
      </c>
      <c r="C22">
        <v>1.82</v>
      </c>
      <c r="D22">
        <v>1.794</v>
      </c>
      <c r="E22">
        <v>1.7975000000000001</v>
      </c>
      <c r="F22">
        <v>1.7975000000000001</v>
      </c>
      <c r="G22">
        <v>2297912</v>
      </c>
    </row>
    <row r="23" spans="1:9" x14ac:dyDescent="0.2">
      <c r="A23" s="1">
        <v>45076</v>
      </c>
      <c r="B23">
        <v>1.8049999999999999</v>
      </c>
      <c r="C23">
        <v>1.8320000000000001</v>
      </c>
      <c r="D23">
        <v>1.784</v>
      </c>
      <c r="E23">
        <v>1.8120000000000001</v>
      </c>
      <c r="F23">
        <v>1.8120000000000001</v>
      </c>
      <c r="G23">
        <v>6597426</v>
      </c>
    </row>
    <row r="24" spans="1:9" x14ac:dyDescent="0.2">
      <c r="A24" s="1">
        <v>45077</v>
      </c>
      <c r="B24">
        <v>1.8009999999999999</v>
      </c>
      <c r="C24">
        <v>1.8380000000000001</v>
      </c>
      <c r="D24">
        <v>1.786</v>
      </c>
      <c r="E24">
        <v>1.7965</v>
      </c>
      <c r="F24">
        <v>1.7965</v>
      </c>
      <c r="G24">
        <v>7065486</v>
      </c>
    </row>
    <row r="25" spans="1:9" x14ac:dyDescent="0.2">
      <c r="A25" s="1">
        <v>45078</v>
      </c>
      <c r="B25">
        <v>1.8120000000000001</v>
      </c>
      <c r="C25">
        <v>1.8280000000000001</v>
      </c>
      <c r="D25">
        <v>1.7849999999999999</v>
      </c>
      <c r="E25">
        <v>1.8149999999999999</v>
      </c>
      <c r="F25">
        <v>1.8149999999999999</v>
      </c>
      <c r="G25">
        <v>5963491</v>
      </c>
    </row>
    <row r="26" spans="1:9" x14ac:dyDescent="0.2">
      <c r="A26" s="1">
        <v>45079</v>
      </c>
      <c r="B26">
        <v>1.8254999999999999</v>
      </c>
      <c r="C26">
        <v>1.8380000000000001</v>
      </c>
      <c r="D26">
        <v>1.8180000000000001</v>
      </c>
      <c r="E26">
        <v>1.8325</v>
      </c>
      <c r="F26">
        <v>1.8325</v>
      </c>
      <c r="G26">
        <v>7058457</v>
      </c>
    </row>
    <row r="27" spans="1:9" x14ac:dyDescent="0.2">
      <c r="A27" s="1">
        <v>45082</v>
      </c>
      <c r="B27">
        <v>1.84</v>
      </c>
      <c r="C27">
        <v>1.84</v>
      </c>
      <c r="D27">
        <v>1.8069999999999999</v>
      </c>
      <c r="E27">
        <v>1.8185</v>
      </c>
      <c r="F27">
        <v>1.8185</v>
      </c>
      <c r="G27">
        <v>5460320</v>
      </c>
    </row>
    <row r="28" spans="1:9" x14ac:dyDescent="0.2">
      <c r="A28" s="1">
        <v>45083</v>
      </c>
      <c r="B28">
        <v>1.8140000000000001</v>
      </c>
      <c r="C28">
        <v>1.8280000000000001</v>
      </c>
      <c r="D28">
        <v>1.8015000000000001</v>
      </c>
      <c r="E28">
        <v>1.8240000000000001</v>
      </c>
      <c r="F28">
        <v>1.8240000000000001</v>
      </c>
      <c r="G28">
        <v>3900979</v>
      </c>
    </row>
    <row r="29" spans="1:9" x14ac:dyDescent="0.2">
      <c r="A29" s="1">
        <v>45084</v>
      </c>
      <c r="B29">
        <v>1.8254999999999999</v>
      </c>
      <c r="C29">
        <v>1.8580000000000001</v>
      </c>
      <c r="D29">
        <v>1.81</v>
      </c>
      <c r="E29">
        <v>1.853</v>
      </c>
      <c r="F29">
        <v>1.853</v>
      </c>
      <c r="G29">
        <v>8745019</v>
      </c>
    </row>
    <row r="30" spans="1:9" x14ac:dyDescent="0.2">
      <c r="A30" s="1">
        <v>45085</v>
      </c>
      <c r="B30">
        <v>1.847</v>
      </c>
      <c r="C30">
        <v>1.865</v>
      </c>
      <c r="D30">
        <v>1.841</v>
      </c>
      <c r="E30">
        <v>1.8485</v>
      </c>
      <c r="F30">
        <v>1.8485</v>
      </c>
      <c r="G30">
        <v>5337847</v>
      </c>
    </row>
    <row r="31" spans="1:9" x14ac:dyDescent="0.2">
      <c r="A31" s="1">
        <v>45086</v>
      </c>
      <c r="B31">
        <v>1.8540000000000001</v>
      </c>
      <c r="C31">
        <v>1.8714999999999999</v>
      </c>
      <c r="D31">
        <v>1.8420000000000001</v>
      </c>
      <c r="E31">
        <v>1.8665</v>
      </c>
      <c r="F31">
        <v>1.8665</v>
      </c>
      <c r="G31">
        <v>6152155</v>
      </c>
    </row>
    <row r="32" spans="1:9" x14ac:dyDescent="0.2">
      <c r="A32" s="1">
        <v>45089</v>
      </c>
      <c r="B32">
        <v>1.875</v>
      </c>
      <c r="C32">
        <v>1.8935</v>
      </c>
      <c r="D32">
        <v>1.871</v>
      </c>
      <c r="E32">
        <v>1.8925000000000001</v>
      </c>
      <c r="F32">
        <v>1.8925000000000001</v>
      </c>
      <c r="G32">
        <v>6644358</v>
      </c>
    </row>
    <row r="33" spans="1:7" x14ac:dyDescent="0.2">
      <c r="A33" s="1">
        <v>45090</v>
      </c>
      <c r="B33">
        <v>1.8975</v>
      </c>
      <c r="C33">
        <v>1.93</v>
      </c>
      <c r="D33">
        <v>1.8955</v>
      </c>
      <c r="E33">
        <v>1.93</v>
      </c>
      <c r="F33">
        <v>1.93</v>
      </c>
      <c r="G33">
        <v>13469397</v>
      </c>
    </row>
    <row r="34" spans="1:7" x14ac:dyDescent="0.2">
      <c r="A34" s="1">
        <v>45091</v>
      </c>
      <c r="B34">
        <v>1.9285000000000001</v>
      </c>
      <c r="C34">
        <v>1.9455</v>
      </c>
      <c r="D34">
        <v>1.9285000000000001</v>
      </c>
      <c r="E34">
        <v>1.94</v>
      </c>
      <c r="F34">
        <v>1.94</v>
      </c>
      <c r="G34">
        <v>9901708</v>
      </c>
    </row>
    <row r="35" spans="1:7" x14ac:dyDescent="0.2">
      <c r="A35" s="1">
        <v>45092</v>
      </c>
      <c r="B35">
        <v>1.9335</v>
      </c>
      <c r="C35">
        <v>1.9390000000000001</v>
      </c>
      <c r="D35">
        <v>1.91</v>
      </c>
      <c r="E35">
        <v>1.9325000000000001</v>
      </c>
      <c r="F35">
        <v>1.9325000000000001</v>
      </c>
      <c r="G35">
        <v>7937519</v>
      </c>
    </row>
    <row r="36" spans="1:7" x14ac:dyDescent="0.2">
      <c r="A36" s="1">
        <v>45093</v>
      </c>
      <c r="B36">
        <v>1.9365000000000001</v>
      </c>
      <c r="C36">
        <v>1.95</v>
      </c>
      <c r="D36">
        <v>1.925</v>
      </c>
      <c r="E36">
        <v>1.9430000000000001</v>
      </c>
      <c r="F36">
        <v>1.9430000000000001</v>
      </c>
      <c r="G36">
        <v>14024948</v>
      </c>
    </row>
    <row r="37" spans="1:7" x14ac:dyDescent="0.2">
      <c r="A37" s="1">
        <v>45096</v>
      </c>
      <c r="B37">
        <v>1.9350000000000001</v>
      </c>
      <c r="C37">
        <v>1.95</v>
      </c>
      <c r="D37">
        <v>1.9175</v>
      </c>
      <c r="E37">
        <v>1.9265000000000001</v>
      </c>
      <c r="F37">
        <v>1.9265000000000001</v>
      </c>
      <c r="G37">
        <v>5586958</v>
      </c>
    </row>
    <row r="38" spans="1:7" x14ac:dyDescent="0.2">
      <c r="A38" s="1">
        <v>45097</v>
      </c>
      <c r="B38">
        <v>1.927</v>
      </c>
      <c r="C38">
        <v>1.9390000000000001</v>
      </c>
      <c r="D38">
        <v>1.9115</v>
      </c>
      <c r="E38">
        <v>1.9265000000000001</v>
      </c>
      <c r="F38">
        <v>1.9265000000000001</v>
      </c>
      <c r="G38">
        <v>4910043</v>
      </c>
    </row>
    <row r="39" spans="1:7" x14ac:dyDescent="0.2">
      <c r="A39" s="1">
        <v>45098</v>
      </c>
      <c r="B39">
        <v>1.93</v>
      </c>
      <c r="C39">
        <v>1.9339999999999999</v>
      </c>
      <c r="D39">
        <v>1.9115</v>
      </c>
      <c r="E39">
        <v>1.9239999999999999</v>
      </c>
      <c r="F39">
        <v>1.9239999999999999</v>
      </c>
      <c r="G39">
        <v>4188189</v>
      </c>
    </row>
    <row r="40" spans="1:7" x14ac:dyDescent="0.2">
      <c r="A40" s="1">
        <v>45099</v>
      </c>
      <c r="B40">
        <v>1.91</v>
      </c>
      <c r="C40">
        <v>1.9259999999999999</v>
      </c>
      <c r="D40">
        <v>1.871</v>
      </c>
      <c r="E40">
        <v>1.9255</v>
      </c>
      <c r="F40">
        <v>1.9255</v>
      </c>
      <c r="G40">
        <v>8160922</v>
      </c>
    </row>
    <row r="41" spans="1:7" x14ac:dyDescent="0.2">
      <c r="A41" s="1">
        <v>45100</v>
      </c>
      <c r="B41">
        <v>1.9055</v>
      </c>
      <c r="C41">
        <v>1.9239999999999999</v>
      </c>
      <c r="D41">
        <v>1.8434999999999999</v>
      </c>
      <c r="E41">
        <v>1.86</v>
      </c>
      <c r="F41">
        <v>1.86</v>
      </c>
      <c r="G41">
        <v>10658107</v>
      </c>
    </row>
    <row r="42" spans="1:7" x14ac:dyDescent="0.2">
      <c r="A42" s="1">
        <v>45103</v>
      </c>
      <c r="B42">
        <v>1.8620000000000001</v>
      </c>
      <c r="C42">
        <v>1.8654999999999999</v>
      </c>
      <c r="D42">
        <v>1.8149999999999999</v>
      </c>
      <c r="E42">
        <v>1.8320000000000001</v>
      </c>
      <c r="F42">
        <v>1.8320000000000001</v>
      </c>
      <c r="G42">
        <v>8904955</v>
      </c>
    </row>
    <row r="43" spans="1:7" x14ac:dyDescent="0.2">
      <c r="A43" s="1">
        <v>45104</v>
      </c>
      <c r="B43">
        <v>1.8485</v>
      </c>
      <c r="C43">
        <v>1.8785000000000001</v>
      </c>
      <c r="D43">
        <v>1.8220000000000001</v>
      </c>
      <c r="E43">
        <v>1.8785000000000001</v>
      </c>
      <c r="F43">
        <v>1.8785000000000001</v>
      </c>
      <c r="G43">
        <v>8470184</v>
      </c>
    </row>
    <row r="44" spans="1:7" x14ac:dyDescent="0.2">
      <c r="A44" s="1">
        <v>45105</v>
      </c>
      <c r="B44">
        <v>1.8819999999999999</v>
      </c>
      <c r="C44">
        <v>1.8925000000000001</v>
      </c>
      <c r="D44">
        <v>1.8660000000000001</v>
      </c>
      <c r="E44">
        <v>1.8875</v>
      </c>
      <c r="F44">
        <v>1.8875</v>
      </c>
      <c r="G44">
        <v>5111851</v>
      </c>
    </row>
    <row r="45" spans="1:7" x14ac:dyDescent="0.2">
      <c r="A45" s="1">
        <v>45106</v>
      </c>
      <c r="B45">
        <v>1.883</v>
      </c>
      <c r="C45">
        <v>1.8975</v>
      </c>
      <c r="D45">
        <v>1.8785000000000001</v>
      </c>
      <c r="E45">
        <v>1.8875</v>
      </c>
      <c r="F45">
        <v>1.8875</v>
      </c>
      <c r="G45">
        <v>4395410</v>
      </c>
    </row>
    <row r="46" spans="1:7" x14ac:dyDescent="0.2">
      <c r="A46" s="1">
        <v>45107</v>
      </c>
      <c r="B46">
        <v>1.893</v>
      </c>
      <c r="C46">
        <v>1.8979999999999999</v>
      </c>
      <c r="D46">
        <v>1.8779999999999999</v>
      </c>
      <c r="E46">
        <v>1.887</v>
      </c>
      <c r="F46">
        <v>1.887</v>
      </c>
      <c r="G46">
        <v>7595154</v>
      </c>
    </row>
    <row r="47" spans="1:7" x14ac:dyDescent="0.2">
      <c r="A47" s="1">
        <v>45110</v>
      </c>
      <c r="B47">
        <v>1.8975</v>
      </c>
      <c r="C47">
        <v>1.9125000000000001</v>
      </c>
      <c r="D47">
        <v>1.887</v>
      </c>
      <c r="E47">
        <v>1.9015</v>
      </c>
      <c r="F47">
        <v>1.9015</v>
      </c>
      <c r="G47">
        <v>4967606</v>
      </c>
    </row>
    <row r="48" spans="1:7" x14ac:dyDescent="0.2">
      <c r="A48" s="1">
        <v>45111</v>
      </c>
      <c r="B48">
        <v>1.907</v>
      </c>
      <c r="C48">
        <v>1.915</v>
      </c>
      <c r="D48">
        <v>1.897</v>
      </c>
      <c r="E48">
        <v>1.9075</v>
      </c>
      <c r="F48">
        <v>1.9075</v>
      </c>
      <c r="G48">
        <v>4048904</v>
      </c>
    </row>
    <row r="49" spans="1:7" x14ac:dyDescent="0.2">
      <c r="A49" s="1">
        <v>45112</v>
      </c>
      <c r="B49">
        <v>1.9</v>
      </c>
      <c r="C49">
        <v>1.9039999999999999</v>
      </c>
      <c r="D49">
        <v>1.887</v>
      </c>
      <c r="E49">
        <v>1.895</v>
      </c>
      <c r="F49">
        <v>1.895</v>
      </c>
      <c r="G49">
        <v>3456232</v>
      </c>
    </row>
    <row r="50" spans="1:7" x14ac:dyDescent="0.2">
      <c r="A50" s="1">
        <v>45113</v>
      </c>
      <c r="B50">
        <v>1.861</v>
      </c>
      <c r="C50">
        <v>1.861</v>
      </c>
      <c r="D50">
        <v>1.8</v>
      </c>
      <c r="E50">
        <v>1.8165</v>
      </c>
      <c r="F50">
        <v>1.8165</v>
      </c>
      <c r="G50">
        <v>11736384</v>
      </c>
    </row>
    <row r="51" spans="1:7" x14ac:dyDescent="0.2">
      <c r="A51" s="1">
        <v>45114</v>
      </c>
      <c r="B51">
        <v>1.8214999999999999</v>
      </c>
      <c r="C51">
        <v>1.85</v>
      </c>
      <c r="D51">
        <v>1.806</v>
      </c>
      <c r="E51">
        <v>1.8434999999999999</v>
      </c>
      <c r="F51">
        <v>1.8434999999999999</v>
      </c>
      <c r="G51">
        <v>6678892</v>
      </c>
    </row>
    <row r="52" spans="1:7" x14ac:dyDescent="0.2">
      <c r="A52" s="1">
        <v>45117</v>
      </c>
      <c r="B52">
        <v>1.84</v>
      </c>
      <c r="C52">
        <v>1.869</v>
      </c>
      <c r="D52">
        <v>1.8265</v>
      </c>
      <c r="E52">
        <v>1.869</v>
      </c>
      <c r="F52">
        <v>1.869</v>
      </c>
      <c r="G52">
        <v>5306226</v>
      </c>
    </row>
    <row r="53" spans="1:7" x14ac:dyDescent="0.2">
      <c r="A53" s="1">
        <v>45118</v>
      </c>
      <c r="B53">
        <v>1.8785000000000001</v>
      </c>
      <c r="C53">
        <v>1.883</v>
      </c>
      <c r="D53">
        <v>1.857</v>
      </c>
      <c r="E53">
        <v>1.883</v>
      </c>
      <c r="F53">
        <v>1.883</v>
      </c>
      <c r="G53">
        <v>4876384</v>
      </c>
    </row>
    <row r="54" spans="1:7" x14ac:dyDescent="0.2">
      <c r="A54" s="1">
        <v>45119</v>
      </c>
      <c r="B54">
        <v>1.865</v>
      </c>
      <c r="C54">
        <v>1.8654999999999999</v>
      </c>
      <c r="D54">
        <v>1.8095000000000001</v>
      </c>
      <c r="E54">
        <v>1.8325</v>
      </c>
      <c r="F54">
        <v>1.8325</v>
      </c>
      <c r="G54">
        <v>21717801</v>
      </c>
    </row>
    <row r="55" spans="1:7" x14ac:dyDescent="0.2">
      <c r="A55" s="1">
        <v>45120</v>
      </c>
      <c r="B55">
        <v>1.833</v>
      </c>
      <c r="C55">
        <v>1.8620000000000001</v>
      </c>
      <c r="D55">
        <v>1.8185</v>
      </c>
      <c r="E55">
        <v>1.829</v>
      </c>
      <c r="F55">
        <v>1.829</v>
      </c>
      <c r="G55">
        <v>10572711</v>
      </c>
    </row>
    <row r="56" spans="1:7" x14ac:dyDescent="0.2">
      <c r="A56" s="1">
        <v>45121</v>
      </c>
      <c r="B56">
        <v>1.821</v>
      </c>
      <c r="C56">
        <v>1.8285</v>
      </c>
      <c r="D56">
        <v>1.8029999999999999</v>
      </c>
      <c r="E56">
        <v>1.8049999999999999</v>
      </c>
      <c r="F56">
        <v>1.8049999999999999</v>
      </c>
      <c r="G56">
        <v>8622745</v>
      </c>
    </row>
    <row r="57" spans="1:7" x14ac:dyDescent="0.2">
      <c r="A57" s="1">
        <v>45124</v>
      </c>
      <c r="B57">
        <v>1.8</v>
      </c>
      <c r="C57">
        <v>1.8194999999999999</v>
      </c>
      <c r="D57">
        <v>1.79</v>
      </c>
      <c r="E57">
        <v>1.804</v>
      </c>
      <c r="F57">
        <v>1.804</v>
      </c>
      <c r="G57">
        <v>5044070</v>
      </c>
    </row>
    <row r="58" spans="1:7" x14ac:dyDescent="0.2">
      <c r="A58" s="1">
        <v>45125</v>
      </c>
      <c r="B58">
        <v>1.81</v>
      </c>
      <c r="C58">
        <v>1.82</v>
      </c>
      <c r="D58">
        <v>1.776</v>
      </c>
      <c r="E58">
        <v>1.7895000000000001</v>
      </c>
      <c r="F58">
        <v>1.7895000000000001</v>
      </c>
      <c r="G58">
        <v>6475953</v>
      </c>
    </row>
    <row r="59" spans="1:7" x14ac:dyDescent="0.2">
      <c r="A59" s="1">
        <v>45126</v>
      </c>
      <c r="B59">
        <v>1.8</v>
      </c>
      <c r="C59">
        <v>1.8174999999999999</v>
      </c>
      <c r="D59">
        <v>1.7989999999999999</v>
      </c>
      <c r="E59">
        <v>1.806</v>
      </c>
      <c r="F59">
        <v>1.806</v>
      </c>
      <c r="G59">
        <v>4732610</v>
      </c>
    </row>
    <row r="60" spans="1:7" x14ac:dyDescent="0.2">
      <c r="A60" s="1">
        <v>45127</v>
      </c>
      <c r="B60">
        <v>1.8025</v>
      </c>
      <c r="C60">
        <v>1.8180000000000001</v>
      </c>
      <c r="D60">
        <v>1.7785</v>
      </c>
      <c r="E60">
        <v>1.7849999999999999</v>
      </c>
      <c r="F60">
        <v>1.7849999999999999</v>
      </c>
      <c r="G60">
        <v>6299005</v>
      </c>
    </row>
    <row r="61" spans="1:7" x14ac:dyDescent="0.2">
      <c r="A61" s="1">
        <v>45128</v>
      </c>
      <c r="B61">
        <v>1.782</v>
      </c>
      <c r="C61">
        <v>1.8080000000000001</v>
      </c>
      <c r="D61">
        <v>1.782</v>
      </c>
      <c r="E61">
        <v>1.7955000000000001</v>
      </c>
      <c r="F61">
        <v>1.7955000000000001</v>
      </c>
      <c r="G61">
        <v>5045082</v>
      </c>
    </row>
    <row r="62" spans="1:7" x14ac:dyDescent="0.2">
      <c r="A62" s="1">
        <v>45131</v>
      </c>
      <c r="B62">
        <v>1.77</v>
      </c>
      <c r="C62">
        <v>1.7745</v>
      </c>
      <c r="D62">
        <v>1.7415</v>
      </c>
      <c r="E62">
        <v>1.7709999999999999</v>
      </c>
      <c r="F62">
        <v>1.7709999999999999</v>
      </c>
      <c r="G62">
        <v>9446935</v>
      </c>
    </row>
    <row r="63" spans="1:7" x14ac:dyDescent="0.2">
      <c r="A63" s="1">
        <v>45132</v>
      </c>
      <c r="B63">
        <v>1.7755000000000001</v>
      </c>
      <c r="C63">
        <v>1.7855000000000001</v>
      </c>
      <c r="D63">
        <v>1.7384999999999999</v>
      </c>
      <c r="E63">
        <v>1.7395</v>
      </c>
      <c r="F63">
        <v>1.7395</v>
      </c>
      <c r="G63">
        <v>7344671</v>
      </c>
    </row>
    <row r="64" spans="1:7" x14ac:dyDescent="0.2">
      <c r="A64" s="1">
        <v>45133</v>
      </c>
      <c r="B64">
        <v>1.744</v>
      </c>
      <c r="C64">
        <v>1.7815000000000001</v>
      </c>
      <c r="D64">
        <v>1.7384999999999999</v>
      </c>
      <c r="E64">
        <v>1.776</v>
      </c>
      <c r="F64">
        <v>1.776</v>
      </c>
      <c r="G64">
        <v>6810666</v>
      </c>
    </row>
    <row r="65" spans="1:7" x14ac:dyDescent="0.2">
      <c r="A65" s="1">
        <v>45134</v>
      </c>
      <c r="B65">
        <v>1.7849999999999999</v>
      </c>
      <c r="C65">
        <v>1.8109999999999999</v>
      </c>
      <c r="D65">
        <v>1.7769999999999999</v>
      </c>
      <c r="E65">
        <v>1.8089999999999999</v>
      </c>
      <c r="F65">
        <v>1.8089999999999999</v>
      </c>
      <c r="G65">
        <v>7327499</v>
      </c>
    </row>
    <row r="66" spans="1:7" x14ac:dyDescent="0.2">
      <c r="A66" s="1">
        <v>45135</v>
      </c>
      <c r="B66">
        <v>1.84</v>
      </c>
      <c r="C66">
        <v>1.929</v>
      </c>
      <c r="D66">
        <v>1.83</v>
      </c>
      <c r="E66">
        <v>1.92</v>
      </c>
      <c r="F66">
        <v>1.92</v>
      </c>
      <c r="G66">
        <v>38170574</v>
      </c>
    </row>
    <row r="67" spans="1:7" x14ac:dyDescent="0.2">
      <c r="A67" s="1">
        <v>45138</v>
      </c>
      <c r="B67">
        <v>1.92</v>
      </c>
      <c r="C67">
        <v>2</v>
      </c>
      <c r="D67">
        <v>1.92</v>
      </c>
      <c r="E67">
        <v>1.9915</v>
      </c>
      <c r="F67">
        <v>1.9915</v>
      </c>
      <c r="G67">
        <v>35672349</v>
      </c>
    </row>
    <row r="68" spans="1:7" x14ac:dyDescent="0.2">
      <c r="A68" s="1">
        <v>45139</v>
      </c>
      <c r="B68">
        <v>1.9915</v>
      </c>
      <c r="C68">
        <v>2.02</v>
      </c>
      <c r="D68">
        <v>1.966</v>
      </c>
      <c r="E68">
        <v>1.9764999999999999</v>
      </c>
      <c r="F68">
        <v>1.9764999999999999</v>
      </c>
      <c r="G68">
        <v>18437529</v>
      </c>
    </row>
    <row r="69" spans="1:7" x14ac:dyDescent="0.2">
      <c r="A69" s="1">
        <v>45140</v>
      </c>
      <c r="B69">
        <v>1.9550000000000001</v>
      </c>
      <c r="C69">
        <v>1.9575</v>
      </c>
      <c r="D69">
        <v>1.8965000000000001</v>
      </c>
      <c r="E69">
        <v>1.9419999999999999</v>
      </c>
      <c r="F69">
        <v>1.9419999999999999</v>
      </c>
      <c r="G69">
        <v>17001393</v>
      </c>
    </row>
    <row r="70" spans="1:7" x14ac:dyDescent="0.2">
      <c r="A70" s="1">
        <v>45141</v>
      </c>
      <c r="B70">
        <v>1.9475</v>
      </c>
      <c r="C70">
        <v>1.9475</v>
      </c>
      <c r="D70">
        <v>1.8680000000000001</v>
      </c>
      <c r="E70">
        <v>1.913</v>
      </c>
      <c r="F70">
        <v>1.913</v>
      </c>
      <c r="G70">
        <v>13777069</v>
      </c>
    </row>
    <row r="71" spans="1:7" x14ac:dyDescent="0.2">
      <c r="A71" s="1">
        <v>45142</v>
      </c>
      <c r="B71">
        <v>1.9285000000000001</v>
      </c>
      <c r="C71">
        <v>1.9450000000000001</v>
      </c>
      <c r="D71">
        <v>1.9179999999999999</v>
      </c>
      <c r="E71">
        <v>1.94</v>
      </c>
      <c r="F71">
        <v>1.94</v>
      </c>
      <c r="G71">
        <v>7137671</v>
      </c>
    </row>
    <row r="72" spans="1:7" x14ac:dyDescent="0.2">
      <c r="A72" s="1">
        <v>45145</v>
      </c>
      <c r="B72">
        <v>1.9450000000000001</v>
      </c>
      <c r="C72">
        <v>1.964</v>
      </c>
      <c r="D72">
        <v>1.9245000000000001</v>
      </c>
      <c r="E72">
        <v>1.9490000000000001</v>
      </c>
      <c r="F72">
        <v>1.9490000000000001</v>
      </c>
      <c r="G72">
        <v>5302764</v>
      </c>
    </row>
    <row r="73" spans="1:7" x14ac:dyDescent="0.2">
      <c r="A73" s="1">
        <v>45146</v>
      </c>
      <c r="B73">
        <v>1.9305000000000001</v>
      </c>
      <c r="C73">
        <v>1.956</v>
      </c>
      <c r="D73">
        <v>1.915</v>
      </c>
      <c r="E73">
        <v>1.956</v>
      </c>
      <c r="F73">
        <v>1.956</v>
      </c>
      <c r="G73">
        <v>6319039</v>
      </c>
    </row>
    <row r="74" spans="1:7" x14ac:dyDescent="0.2">
      <c r="A74" s="1">
        <v>45147</v>
      </c>
      <c r="B74">
        <v>1.9784999999999999</v>
      </c>
      <c r="C74">
        <v>1.9850000000000001</v>
      </c>
      <c r="D74">
        <v>1.923</v>
      </c>
      <c r="E74">
        <v>1.9305000000000001</v>
      </c>
      <c r="F74">
        <v>1.9305000000000001</v>
      </c>
      <c r="G74">
        <v>7163842</v>
      </c>
    </row>
    <row r="75" spans="1:7" x14ac:dyDescent="0.2">
      <c r="A75" s="1">
        <v>45148</v>
      </c>
      <c r="B75">
        <v>1.946</v>
      </c>
      <c r="C75">
        <v>1.958</v>
      </c>
      <c r="D75">
        <v>1.94</v>
      </c>
      <c r="E75">
        <v>1.946</v>
      </c>
      <c r="F75">
        <v>1.946</v>
      </c>
      <c r="G75">
        <v>4584278</v>
      </c>
    </row>
    <row r="76" spans="1:7" x14ac:dyDescent="0.2">
      <c r="A76" s="1">
        <v>45149</v>
      </c>
      <c r="B76">
        <v>1.9305000000000001</v>
      </c>
      <c r="C76">
        <v>1.9365000000000001</v>
      </c>
      <c r="D76">
        <v>1.9219999999999999</v>
      </c>
      <c r="E76">
        <v>1.9235</v>
      </c>
      <c r="F76">
        <v>1.9235</v>
      </c>
      <c r="G76">
        <v>4677711</v>
      </c>
    </row>
    <row r="77" spans="1:7" x14ac:dyDescent="0.2">
      <c r="A77" s="1">
        <v>45152</v>
      </c>
      <c r="B77">
        <v>1.9175</v>
      </c>
      <c r="C77">
        <v>1.9379999999999999</v>
      </c>
      <c r="D77">
        <v>1.9125000000000001</v>
      </c>
      <c r="E77">
        <v>1.9350000000000001</v>
      </c>
      <c r="F77">
        <v>1.9350000000000001</v>
      </c>
      <c r="G77">
        <v>3972849</v>
      </c>
    </row>
    <row r="78" spans="1:7" x14ac:dyDescent="0.2">
      <c r="A78" s="1">
        <v>45153</v>
      </c>
      <c r="B78">
        <v>1.9350000000000001</v>
      </c>
      <c r="C78">
        <v>1.9379999999999999</v>
      </c>
      <c r="D78">
        <v>1.9119999999999999</v>
      </c>
      <c r="E78">
        <v>1.925</v>
      </c>
      <c r="F78">
        <v>1.925</v>
      </c>
      <c r="G78">
        <v>3217428</v>
      </c>
    </row>
    <row r="79" spans="1:7" x14ac:dyDescent="0.2">
      <c r="A79" s="1">
        <v>45154</v>
      </c>
      <c r="B79">
        <v>1.9155</v>
      </c>
      <c r="C79">
        <v>1.94</v>
      </c>
      <c r="D79">
        <v>1.9085000000000001</v>
      </c>
      <c r="E79">
        <v>1.9319999999999999</v>
      </c>
      <c r="F79">
        <v>1.9319999999999999</v>
      </c>
      <c r="G79">
        <v>2966325</v>
      </c>
    </row>
    <row r="80" spans="1:7" x14ac:dyDescent="0.2">
      <c r="A80" s="1">
        <v>45155</v>
      </c>
      <c r="B80">
        <v>1.9239999999999999</v>
      </c>
      <c r="C80">
        <v>1.9315</v>
      </c>
      <c r="D80">
        <v>1.9039999999999999</v>
      </c>
      <c r="E80">
        <v>1.905</v>
      </c>
      <c r="F80">
        <v>1.905</v>
      </c>
      <c r="G80">
        <v>5085196</v>
      </c>
    </row>
    <row r="81" spans="1:7" x14ac:dyDescent="0.2">
      <c r="A81" s="1">
        <v>45156</v>
      </c>
      <c r="B81">
        <v>1.9015</v>
      </c>
      <c r="C81">
        <v>1.9025000000000001</v>
      </c>
      <c r="D81">
        <v>1.8534999999999999</v>
      </c>
      <c r="E81">
        <v>1.8845000000000001</v>
      </c>
      <c r="F81">
        <v>1.8845000000000001</v>
      </c>
      <c r="G81">
        <v>8618436</v>
      </c>
    </row>
    <row r="82" spans="1:7" x14ac:dyDescent="0.2">
      <c r="A82" s="1">
        <v>45159</v>
      </c>
      <c r="B82">
        <v>1.8845000000000001</v>
      </c>
      <c r="C82">
        <v>1.9125000000000001</v>
      </c>
      <c r="D82">
        <v>1.8815</v>
      </c>
      <c r="E82">
        <v>1.8959999999999999</v>
      </c>
      <c r="F82">
        <v>1.8959999999999999</v>
      </c>
      <c r="G82">
        <v>3481922</v>
      </c>
    </row>
    <row r="83" spans="1:7" x14ac:dyDescent="0.2">
      <c r="A83" s="1">
        <v>45160</v>
      </c>
      <c r="B83">
        <v>1.9055</v>
      </c>
      <c r="C83">
        <v>1.9095</v>
      </c>
      <c r="D83">
        <v>1.8915</v>
      </c>
      <c r="E83">
        <v>1.8975</v>
      </c>
      <c r="F83">
        <v>1.8975</v>
      </c>
      <c r="G83">
        <v>3093239</v>
      </c>
    </row>
    <row r="84" spans="1:7" x14ac:dyDescent="0.2">
      <c r="A84" s="1">
        <v>45161</v>
      </c>
      <c r="B84">
        <v>1.903</v>
      </c>
      <c r="C84">
        <v>1.9059999999999999</v>
      </c>
      <c r="D84">
        <v>1.8720000000000001</v>
      </c>
      <c r="E84">
        <v>1.8945000000000001</v>
      </c>
      <c r="F84">
        <v>1.8945000000000001</v>
      </c>
      <c r="G84">
        <v>4007418</v>
      </c>
    </row>
    <row r="85" spans="1:7" x14ac:dyDescent="0.2">
      <c r="A85" s="1">
        <v>45162</v>
      </c>
      <c r="B85">
        <v>1.9</v>
      </c>
      <c r="C85">
        <v>1.9119999999999999</v>
      </c>
      <c r="D85">
        <v>1.8740000000000001</v>
      </c>
      <c r="E85">
        <v>1.8754999999999999</v>
      </c>
      <c r="F85">
        <v>1.8754999999999999</v>
      </c>
      <c r="G85">
        <v>6913229</v>
      </c>
    </row>
    <row r="86" spans="1:7" x14ac:dyDescent="0.2">
      <c r="A86" s="1">
        <v>45163</v>
      </c>
      <c r="B86">
        <v>1.87</v>
      </c>
      <c r="C86">
        <v>1.8779999999999999</v>
      </c>
      <c r="D86">
        <v>1.837</v>
      </c>
      <c r="E86">
        <v>1.845</v>
      </c>
      <c r="F86">
        <v>1.845</v>
      </c>
      <c r="G86">
        <v>6979197</v>
      </c>
    </row>
    <row r="87" spans="1:7" x14ac:dyDescent="0.2">
      <c r="A87" s="1">
        <v>45166</v>
      </c>
      <c r="B87">
        <v>1.855</v>
      </c>
      <c r="C87">
        <v>1.8759999999999999</v>
      </c>
      <c r="D87">
        <v>1.8540000000000001</v>
      </c>
      <c r="E87">
        <v>1.8734999999999999</v>
      </c>
      <c r="F87">
        <v>1.8734999999999999</v>
      </c>
      <c r="G87">
        <v>1094012</v>
      </c>
    </row>
    <row r="88" spans="1:7" x14ac:dyDescent="0.2">
      <c r="A88" s="1">
        <v>45167</v>
      </c>
      <c r="B88">
        <v>1.861</v>
      </c>
      <c r="C88">
        <v>1.8965000000000001</v>
      </c>
      <c r="D88">
        <v>1.86</v>
      </c>
      <c r="E88">
        <v>1.8945000000000001</v>
      </c>
      <c r="F88">
        <v>1.8945000000000001</v>
      </c>
      <c r="G88">
        <v>7945723</v>
      </c>
    </row>
    <row r="89" spans="1:7" x14ac:dyDescent="0.2">
      <c r="A89" s="1">
        <v>45168</v>
      </c>
      <c r="B89">
        <v>1.8995</v>
      </c>
      <c r="C89">
        <v>1.8995</v>
      </c>
      <c r="D89">
        <v>1.8640000000000001</v>
      </c>
      <c r="E89">
        <v>1.8805000000000001</v>
      </c>
      <c r="F89">
        <v>1.8805000000000001</v>
      </c>
      <c r="G89">
        <v>5009915</v>
      </c>
    </row>
    <row r="90" spans="1:7" x14ac:dyDescent="0.2">
      <c r="A90" s="1">
        <v>45169</v>
      </c>
      <c r="B90">
        <v>1.8740000000000001</v>
      </c>
      <c r="C90">
        <v>1.9285000000000001</v>
      </c>
      <c r="D90">
        <v>1.8734999999999999</v>
      </c>
      <c r="E90">
        <v>1.8925000000000001</v>
      </c>
      <c r="F90">
        <v>1.8925000000000001</v>
      </c>
      <c r="G90">
        <v>8350071</v>
      </c>
    </row>
    <row r="91" spans="1:7" x14ac:dyDescent="0.2">
      <c r="A91" s="1">
        <v>45170</v>
      </c>
      <c r="B91">
        <v>1.8905000000000001</v>
      </c>
      <c r="C91">
        <v>1.9115</v>
      </c>
      <c r="D91">
        <v>1.86</v>
      </c>
      <c r="E91">
        <v>1.8634999999999999</v>
      </c>
      <c r="F91">
        <v>1.8634999999999999</v>
      </c>
      <c r="G91">
        <v>5764863</v>
      </c>
    </row>
    <row r="92" spans="1:7" x14ac:dyDescent="0.2">
      <c r="A92" s="1">
        <v>45173</v>
      </c>
      <c r="B92">
        <v>1.873</v>
      </c>
      <c r="C92">
        <v>1.9035</v>
      </c>
      <c r="D92">
        <v>1.873</v>
      </c>
      <c r="E92">
        <v>1.889</v>
      </c>
      <c r="F92">
        <v>1.889</v>
      </c>
      <c r="G92">
        <v>4011363</v>
      </c>
    </row>
    <row r="93" spans="1:7" x14ac:dyDescent="0.2">
      <c r="A93" s="1">
        <v>45174</v>
      </c>
      <c r="B93">
        <v>1.88</v>
      </c>
      <c r="C93">
        <v>1.8859999999999999</v>
      </c>
      <c r="D93">
        <v>1.8554999999999999</v>
      </c>
      <c r="E93">
        <v>1.8754999999999999</v>
      </c>
      <c r="F93">
        <v>1.8754999999999999</v>
      </c>
      <c r="G93">
        <v>5247303</v>
      </c>
    </row>
    <row r="94" spans="1:7" x14ac:dyDescent="0.2">
      <c r="A94" s="1">
        <v>45175</v>
      </c>
      <c r="B94">
        <v>1.873</v>
      </c>
      <c r="C94">
        <v>1.873</v>
      </c>
      <c r="D94">
        <v>1.7829999999999999</v>
      </c>
      <c r="E94">
        <v>1.7969999999999999</v>
      </c>
      <c r="F94">
        <v>1.7969999999999999</v>
      </c>
      <c r="G94">
        <v>14637458</v>
      </c>
    </row>
    <row r="95" spans="1:7" x14ac:dyDescent="0.2">
      <c r="A95" s="1">
        <v>45176</v>
      </c>
      <c r="B95">
        <v>1.8045</v>
      </c>
      <c r="C95">
        <v>1.8234999999999999</v>
      </c>
      <c r="D95">
        <v>1.7829999999999999</v>
      </c>
      <c r="E95">
        <v>1.8065</v>
      </c>
      <c r="F95">
        <v>1.8065</v>
      </c>
      <c r="G95">
        <v>7474999</v>
      </c>
    </row>
    <row r="96" spans="1:7" x14ac:dyDescent="0.2">
      <c r="A96" s="1">
        <v>45177</v>
      </c>
      <c r="B96">
        <v>1.8194999999999999</v>
      </c>
      <c r="C96">
        <v>1.82</v>
      </c>
      <c r="D96">
        <v>1.778</v>
      </c>
      <c r="E96">
        <v>1.8055000000000001</v>
      </c>
      <c r="F96">
        <v>1.8055000000000001</v>
      </c>
      <c r="G96">
        <v>6071431</v>
      </c>
    </row>
    <row r="97" spans="1:7" x14ac:dyDescent="0.2">
      <c r="A97" s="1">
        <v>45180</v>
      </c>
      <c r="B97">
        <v>1.8134999999999999</v>
      </c>
      <c r="C97">
        <v>1.831</v>
      </c>
      <c r="D97">
        <v>1.798</v>
      </c>
      <c r="E97">
        <v>1.8260000000000001</v>
      </c>
      <c r="F97">
        <v>1.8260000000000001</v>
      </c>
      <c r="G97">
        <v>4695663</v>
      </c>
    </row>
    <row r="98" spans="1:7" x14ac:dyDescent="0.2">
      <c r="A98" s="1">
        <v>45181</v>
      </c>
      <c r="B98">
        <v>1.83</v>
      </c>
      <c r="C98">
        <v>1.8565</v>
      </c>
      <c r="D98">
        <v>1.8180000000000001</v>
      </c>
      <c r="E98">
        <v>1.84</v>
      </c>
      <c r="F98">
        <v>1.84</v>
      </c>
      <c r="G98">
        <v>4002486</v>
      </c>
    </row>
    <row r="99" spans="1:7" x14ac:dyDescent="0.2">
      <c r="A99" s="1">
        <v>45182</v>
      </c>
      <c r="B99">
        <v>1.835</v>
      </c>
      <c r="C99">
        <v>1.8460000000000001</v>
      </c>
      <c r="D99">
        <v>1.7629999999999999</v>
      </c>
      <c r="E99">
        <v>1.7945</v>
      </c>
      <c r="F99">
        <v>1.7945</v>
      </c>
      <c r="G99">
        <v>12382011</v>
      </c>
    </row>
    <row r="100" spans="1:7" x14ac:dyDescent="0.2">
      <c r="A100" s="1">
        <v>45183</v>
      </c>
      <c r="B100">
        <v>1.7845</v>
      </c>
      <c r="C100">
        <v>1.7889999999999999</v>
      </c>
      <c r="D100">
        <v>1.754</v>
      </c>
      <c r="E100">
        <v>1.7835000000000001</v>
      </c>
      <c r="F100">
        <v>1.7835000000000001</v>
      </c>
      <c r="G100">
        <v>13545052</v>
      </c>
    </row>
    <row r="101" spans="1:7" x14ac:dyDescent="0.2">
      <c r="A101" s="1">
        <v>45184</v>
      </c>
      <c r="B101">
        <v>1.8055000000000001</v>
      </c>
      <c r="C101">
        <v>1.8095000000000001</v>
      </c>
      <c r="D101">
        <v>1.7829999999999999</v>
      </c>
      <c r="E101">
        <v>1.7855000000000001</v>
      </c>
      <c r="F101">
        <v>1.7855000000000001</v>
      </c>
      <c r="G101">
        <v>8508579</v>
      </c>
    </row>
    <row r="102" spans="1:7" x14ac:dyDescent="0.2">
      <c r="A102" s="1">
        <v>45187</v>
      </c>
      <c r="B102">
        <v>1.7855000000000001</v>
      </c>
      <c r="C102">
        <v>1.7955000000000001</v>
      </c>
      <c r="D102">
        <v>1.748</v>
      </c>
      <c r="E102">
        <v>1.752</v>
      </c>
      <c r="F102">
        <v>1.752</v>
      </c>
      <c r="G102">
        <v>10044472</v>
      </c>
    </row>
    <row r="103" spans="1:7" x14ac:dyDescent="0.2">
      <c r="A103" s="1">
        <v>45188</v>
      </c>
      <c r="B103">
        <v>1.7535000000000001</v>
      </c>
      <c r="C103">
        <v>1.768</v>
      </c>
      <c r="D103">
        <v>1.7430000000000001</v>
      </c>
      <c r="E103">
        <v>1.754</v>
      </c>
      <c r="F103">
        <v>1.754</v>
      </c>
      <c r="G103">
        <v>8261397</v>
      </c>
    </row>
    <row r="104" spans="1:7" x14ac:dyDescent="0.2">
      <c r="A104" s="1">
        <v>45189</v>
      </c>
      <c r="B104">
        <v>1.76</v>
      </c>
      <c r="C104">
        <v>1.8180000000000001</v>
      </c>
      <c r="D104">
        <v>1.76</v>
      </c>
      <c r="E104">
        <v>1.8005</v>
      </c>
      <c r="F104">
        <v>1.8005</v>
      </c>
      <c r="G104">
        <v>11291946</v>
      </c>
    </row>
    <row r="105" spans="1:7" x14ac:dyDescent="0.2">
      <c r="A105" s="1">
        <v>45190</v>
      </c>
      <c r="B105">
        <v>1.78</v>
      </c>
      <c r="C105">
        <v>1.7829999999999999</v>
      </c>
      <c r="D105">
        <v>1.7529999999999999</v>
      </c>
      <c r="E105">
        <v>1.7565</v>
      </c>
      <c r="F105">
        <v>1.7565</v>
      </c>
      <c r="G105">
        <v>12301100</v>
      </c>
    </row>
    <row r="106" spans="1:7" x14ac:dyDescent="0.2">
      <c r="A106" s="1">
        <v>45191</v>
      </c>
      <c r="B106">
        <v>1.7509999999999999</v>
      </c>
      <c r="C106">
        <v>1.758</v>
      </c>
      <c r="D106">
        <v>1.7250000000000001</v>
      </c>
      <c r="E106">
        <v>1.75</v>
      </c>
      <c r="F106">
        <v>1.75</v>
      </c>
      <c r="G106">
        <v>8851353</v>
      </c>
    </row>
    <row r="107" spans="1:7" x14ac:dyDescent="0.2">
      <c r="A107" s="1">
        <v>45194</v>
      </c>
      <c r="B107">
        <v>1.7484999999999999</v>
      </c>
      <c r="C107">
        <v>1.7524999999999999</v>
      </c>
      <c r="D107">
        <v>1.6875</v>
      </c>
      <c r="E107">
        <v>1.6970000000000001</v>
      </c>
      <c r="F107">
        <v>1.6970000000000001</v>
      </c>
      <c r="G107">
        <v>16701225</v>
      </c>
    </row>
    <row r="108" spans="1:7" x14ac:dyDescent="0.2">
      <c r="A108" s="1">
        <v>45195</v>
      </c>
      <c r="B108">
        <v>1.6890000000000001</v>
      </c>
      <c r="C108">
        <v>1.7230000000000001</v>
      </c>
      <c r="D108">
        <v>1.681</v>
      </c>
      <c r="E108">
        <v>1.7064999999999999</v>
      </c>
      <c r="F108">
        <v>1.7064999999999999</v>
      </c>
      <c r="G108">
        <v>8934295</v>
      </c>
    </row>
    <row r="109" spans="1:7" x14ac:dyDescent="0.2">
      <c r="A109" s="1">
        <v>45196</v>
      </c>
      <c r="B109">
        <v>1.7</v>
      </c>
      <c r="C109">
        <v>1.7330000000000001</v>
      </c>
      <c r="D109">
        <v>1.6970000000000001</v>
      </c>
      <c r="E109">
        <v>1.7170000000000001</v>
      </c>
      <c r="F109">
        <v>1.7170000000000001</v>
      </c>
      <c r="G109">
        <v>7587078</v>
      </c>
    </row>
    <row r="110" spans="1:7" x14ac:dyDescent="0.2">
      <c r="A110" s="1">
        <v>45197</v>
      </c>
      <c r="B110">
        <v>1.7090000000000001</v>
      </c>
      <c r="C110">
        <v>1.7130000000000001</v>
      </c>
      <c r="D110">
        <v>1.6595</v>
      </c>
      <c r="E110">
        <v>1.706</v>
      </c>
      <c r="F110">
        <v>1.706</v>
      </c>
      <c r="G110">
        <v>16055541</v>
      </c>
    </row>
    <row r="111" spans="1:7" x14ac:dyDescent="0.2">
      <c r="A111" s="1">
        <v>45198</v>
      </c>
      <c r="B111">
        <v>1.712</v>
      </c>
      <c r="C111">
        <v>1.7295</v>
      </c>
      <c r="D111">
        <v>1.7064999999999999</v>
      </c>
      <c r="E111">
        <v>1.7064999999999999</v>
      </c>
      <c r="F111">
        <v>1.7064999999999999</v>
      </c>
      <c r="G111">
        <v>7009522</v>
      </c>
    </row>
    <row r="112" spans="1:7" x14ac:dyDescent="0.2">
      <c r="A112" s="1">
        <v>45201</v>
      </c>
      <c r="B112">
        <v>1.71</v>
      </c>
      <c r="C112">
        <v>1.7324999999999999</v>
      </c>
      <c r="D112">
        <v>1.704</v>
      </c>
      <c r="E112">
        <v>1.7075</v>
      </c>
      <c r="F112">
        <v>1.7075</v>
      </c>
      <c r="G112">
        <v>7679742</v>
      </c>
    </row>
    <row r="113" spans="1:7" x14ac:dyDescent="0.2">
      <c r="A113" s="1">
        <v>45202</v>
      </c>
      <c r="B113">
        <v>1.6990000000000001</v>
      </c>
      <c r="C113">
        <v>1.7155</v>
      </c>
      <c r="D113">
        <v>1.6755</v>
      </c>
      <c r="E113">
        <v>1.6755</v>
      </c>
      <c r="F113">
        <v>1.6755</v>
      </c>
      <c r="G113">
        <v>7372493</v>
      </c>
    </row>
    <row r="114" spans="1:7" x14ac:dyDescent="0.2">
      <c r="A114" s="1">
        <v>45203</v>
      </c>
      <c r="B114">
        <v>1.6625000000000001</v>
      </c>
      <c r="C114">
        <v>1.7444999999999999</v>
      </c>
      <c r="D114">
        <v>1.651</v>
      </c>
      <c r="E114">
        <v>1.744</v>
      </c>
      <c r="F114">
        <v>1.744</v>
      </c>
      <c r="G114">
        <v>12307294</v>
      </c>
    </row>
    <row r="115" spans="1:7" x14ac:dyDescent="0.2">
      <c r="A115" s="1">
        <v>45204</v>
      </c>
      <c r="B115">
        <v>1.754</v>
      </c>
      <c r="C115">
        <v>1.7925</v>
      </c>
      <c r="D115">
        <v>1.7455000000000001</v>
      </c>
      <c r="E115">
        <v>1.7865</v>
      </c>
      <c r="F115">
        <v>1.7865</v>
      </c>
      <c r="G115">
        <v>11661837</v>
      </c>
    </row>
    <row r="116" spans="1:7" x14ac:dyDescent="0.2">
      <c r="A116" s="1">
        <v>45205</v>
      </c>
      <c r="B116">
        <v>1.79</v>
      </c>
      <c r="C116">
        <v>1.8165</v>
      </c>
      <c r="D116">
        <v>1.7789999999999999</v>
      </c>
      <c r="E116">
        <v>1.8085</v>
      </c>
      <c r="F116">
        <v>1.8085</v>
      </c>
      <c r="G116">
        <v>11032030</v>
      </c>
    </row>
    <row r="117" spans="1:7" x14ac:dyDescent="0.2">
      <c r="A117" s="1">
        <v>45208</v>
      </c>
      <c r="B117">
        <v>1.7484999999999999</v>
      </c>
      <c r="C117">
        <v>1.7509999999999999</v>
      </c>
      <c r="D117">
        <v>1.7</v>
      </c>
      <c r="E117">
        <v>1.7055</v>
      </c>
      <c r="F117">
        <v>1.7055</v>
      </c>
      <c r="G117">
        <v>23418686</v>
      </c>
    </row>
    <row r="118" spans="1:7" x14ac:dyDescent="0.2">
      <c r="A118" s="1">
        <v>45209</v>
      </c>
      <c r="B118">
        <v>1.716</v>
      </c>
      <c r="C118">
        <v>1.738</v>
      </c>
      <c r="D118">
        <v>1.714</v>
      </c>
      <c r="E118">
        <v>1.7364999999999999</v>
      </c>
      <c r="F118">
        <v>1.7364999999999999</v>
      </c>
      <c r="G118">
        <v>12366179</v>
      </c>
    </row>
    <row r="119" spans="1:7" x14ac:dyDescent="0.2">
      <c r="A119" s="1">
        <v>45210</v>
      </c>
      <c r="B119">
        <v>1.7215</v>
      </c>
      <c r="C119">
        <v>1.7424999999999999</v>
      </c>
      <c r="D119">
        <v>1.71</v>
      </c>
      <c r="E119">
        <v>1.7315</v>
      </c>
      <c r="F119">
        <v>1.7315</v>
      </c>
      <c r="G119">
        <v>8001977</v>
      </c>
    </row>
    <row r="120" spans="1:7" x14ac:dyDescent="0.2">
      <c r="A120" s="1">
        <v>45211</v>
      </c>
      <c r="B120">
        <v>1.7470000000000001</v>
      </c>
      <c r="C120">
        <v>1.752</v>
      </c>
      <c r="D120">
        <v>1.7124999999999999</v>
      </c>
      <c r="E120">
        <v>1.7124999999999999</v>
      </c>
      <c r="F120">
        <v>1.7124999999999999</v>
      </c>
      <c r="G120">
        <v>8444094</v>
      </c>
    </row>
    <row r="121" spans="1:7" x14ac:dyDescent="0.2">
      <c r="A121" s="1">
        <v>45212</v>
      </c>
      <c r="B121">
        <v>1.702</v>
      </c>
      <c r="C121">
        <v>1.7215</v>
      </c>
      <c r="D121">
        <v>1.671</v>
      </c>
      <c r="E121">
        <v>1.671</v>
      </c>
      <c r="F121">
        <v>1.671</v>
      </c>
      <c r="G121">
        <v>12516153</v>
      </c>
    </row>
    <row r="122" spans="1:7" x14ac:dyDescent="0.2">
      <c r="A122" s="1">
        <v>45215</v>
      </c>
      <c r="B122">
        <v>1.67</v>
      </c>
      <c r="C122">
        <v>1.6870000000000001</v>
      </c>
      <c r="D122">
        <v>1.6425000000000001</v>
      </c>
      <c r="E122">
        <v>1.6765000000000001</v>
      </c>
      <c r="F122">
        <v>1.6765000000000001</v>
      </c>
      <c r="G122">
        <v>9372000</v>
      </c>
    </row>
    <row r="123" spans="1:7" x14ac:dyDescent="0.2">
      <c r="A123" s="1">
        <v>45216</v>
      </c>
      <c r="B123">
        <v>1.6765000000000001</v>
      </c>
      <c r="C123">
        <v>1.6990000000000001</v>
      </c>
      <c r="D123">
        <v>1.6739999999999999</v>
      </c>
      <c r="E123">
        <v>1.6859999999999999</v>
      </c>
      <c r="F123">
        <v>1.6859999999999999</v>
      </c>
      <c r="G123">
        <v>6165089</v>
      </c>
    </row>
    <row r="124" spans="1:7" x14ac:dyDescent="0.2">
      <c r="A124" s="1">
        <v>45217</v>
      </c>
      <c r="B124">
        <v>1.6759999999999999</v>
      </c>
      <c r="C124">
        <v>1.6759999999999999</v>
      </c>
      <c r="D124">
        <v>1.625</v>
      </c>
      <c r="E124">
        <v>1.6345000000000001</v>
      </c>
      <c r="F124">
        <v>1.6345000000000001</v>
      </c>
      <c r="G124">
        <v>14771567</v>
      </c>
    </row>
    <row r="125" spans="1:7" x14ac:dyDescent="0.2">
      <c r="A125" s="1">
        <v>45218</v>
      </c>
      <c r="B125">
        <v>1.62</v>
      </c>
      <c r="C125">
        <v>1.6379999999999999</v>
      </c>
      <c r="D125">
        <v>1.607</v>
      </c>
      <c r="E125">
        <v>1.63</v>
      </c>
      <c r="F125">
        <v>1.63</v>
      </c>
      <c r="G125">
        <v>11252446</v>
      </c>
    </row>
    <row r="126" spans="1:7" x14ac:dyDescent="0.2">
      <c r="A126" s="1">
        <v>45219</v>
      </c>
      <c r="B126">
        <v>1.61</v>
      </c>
      <c r="C126">
        <v>1.61</v>
      </c>
      <c r="D126">
        <v>1.577</v>
      </c>
      <c r="E126">
        <v>1.5865</v>
      </c>
      <c r="F126">
        <v>1.5865</v>
      </c>
      <c r="G126">
        <v>18337918</v>
      </c>
    </row>
    <row r="127" spans="1:7" x14ac:dyDescent="0.2">
      <c r="A127" s="1">
        <v>45222</v>
      </c>
      <c r="B127">
        <v>1.5865</v>
      </c>
      <c r="C127">
        <v>1.627</v>
      </c>
      <c r="D127">
        <v>1.583</v>
      </c>
      <c r="E127">
        <v>1.627</v>
      </c>
      <c r="F127">
        <v>1.627</v>
      </c>
      <c r="G127">
        <v>10629990</v>
      </c>
    </row>
    <row r="128" spans="1:7" x14ac:dyDescent="0.2">
      <c r="A128" s="1">
        <v>45223</v>
      </c>
      <c r="B128">
        <v>1.64</v>
      </c>
      <c r="C128">
        <v>1.6519999999999999</v>
      </c>
      <c r="D128">
        <v>1.611</v>
      </c>
      <c r="E128">
        <v>1.6294999999999999</v>
      </c>
      <c r="F128">
        <v>1.6294999999999999</v>
      </c>
      <c r="G128">
        <v>7052065</v>
      </c>
    </row>
    <row r="129" spans="1:7" x14ac:dyDescent="0.2">
      <c r="A129" s="1">
        <v>45224</v>
      </c>
      <c r="B129">
        <v>1.63</v>
      </c>
      <c r="C129">
        <v>1.631</v>
      </c>
      <c r="D129">
        <v>1.581</v>
      </c>
      <c r="E129">
        <v>1.609</v>
      </c>
      <c r="F129">
        <v>1.609</v>
      </c>
      <c r="G129">
        <v>8010822</v>
      </c>
    </row>
    <row r="130" spans="1:7" x14ac:dyDescent="0.2">
      <c r="A130" s="1">
        <v>45225</v>
      </c>
      <c r="B130">
        <v>1.5914999999999999</v>
      </c>
      <c r="C130">
        <v>1.65</v>
      </c>
      <c r="D130">
        <v>1.5840000000000001</v>
      </c>
      <c r="E130">
        <v>1.6455</v>
      </c>
      <c r="F130">
        <v>1.6455</v>
      </c>
      <c r="G130">
        <v>10320099</v>
      </c>
    </row>
    <row r="131" spans="1:7" x14ac:dyDescent="0.2">
      <c r="A131" s="1">
        <v>45226</v>
      </c>
      <c r="B131">
        <v>1.67</v>
      </c>
      <c r="C131">
        <v>1.7010000000000001</v>
      </c>
      <c r="D131">
        <v>1.5814999999999999</v>
      </c>
      <c r="E131">
        <v>1.6240000000000001</v>
      </c>
      <c r="F131">
        <v>1.6240000000000001</v>
      </c>
      <c r="G131">
        <v>23716016</v>
      </c>
    </row>
    <row r="132" spans="1:7" x14ac:dyDescent="0.2">
      <c r="A132" s="1">
        <v>45229</v>
      </c>
      <c r="B132">
        <v>1.6379999999999999</v>
      </c>
      <c r="C132">
        <v>1.6639999999999999</v>
      </c>
      <c r="D132">
        <v>1.6240000000000001</v>
      </c>
      <c r="E132">
        <v>1.645</v>
      </c>
      <c r="F132">
        <v>1.645</v>
      </c>
      <c r="G132">
        <v>7729198</v>
      </c>
    </row>
    <row r="133" spans="1:7" x14ac:dyDescent="0.2">
      <c r="A133" s="1">
        <v>45230</v>
      </c>
      <c r="B133">
        <v>1.6525000000000001</v>
      </c>
      <c r="C133">
        <v>1.6685000000000001</v>
      </c>
      <c r="D133">
        <v>1.6419999999999999</v>
      </c>
      <c r="E133">
        <v>1.6525000000000001</v>
      </c>
      <c r="F133">
        <v>1.6525000000000001</v>
      </c>
      <c r="G133">
        <v>6580609</v>
      </c>
    </row>
    <row r="134" spans="1:7" x14ac:dyDescent="0.2">
      <c r="A134" s="1">
        <v>45231</v>
      </c>
      <c r="B134">
        <v>1.66</v>
      </c>
      <c r="C134">
        <v>1.675</v>
      </c>
      <c r="D134">
        <v>1.645</v>
      </c>
      <c r="E134">
        <v>1.6655</v>
      </c>
      <c r="F134">
        <v>1.6655</v>
      </c>
      <c r="G134">
        <v>5613691</v>
      </c>
    </row>
    <row r="135" spans="1:7" x14ac:dyDescent="0.2">
      <c r="A135" s="1">
        <v>45232</v>
      </c>
      <c r="B135">
        <v>1.6805000000000001</v>
      </c>
      <c r="C135">
        <v>1.7155</v>
      </c>
      <c r="D135">
        <v>1.679</v>
      </c>
      <c r="E135">
        <v>1.6910000000000001</v>
      </c>
      <c r="F135">
        <v>1.6910000000000001</v>
      </c>
      <c r="G135">
        <v>14348429</v>
      </c>
    </row>
    <row r="136" spans="1:7" x14ac:dyDescent="0.2">
      <c r="A136" s="1">
        <v>45233</v>
      </c>
      <c r="B136">
        <v>1.7024999999999999</v>
      </c>
      <c r="C136">
        <v>1.744</v>
      </c>
      <c r="D136">
        <v>1.6970000000000001</v>
      </c>
      <c r="E136">
        <v>1.7295</v>
      </c>
      <c r="F136">
        <v>1.7295</v>
      </c>
      <c r="G136">
        <v>14167026</v>
      </c>
    </row>
    <row r="137" spans="1:7" x14ac:dyDescent="0.2">
      <c r="A137" s="1">
        <v>45236</v>
      </c>
      <c r="B137">
        <v>1.7455000000000001</v>
      </c>
      <c r="C137">
        <v>1.7675000000000001</v>
      </c>
      <c r="D137">
        <v>1.7215</v>
      </c>
      <c r="E137">
        <v>1.7250000000000001</v>
      </c>
      <c r="F137">
        <v>1.7250000000000001</v>
      </c>
      <c r="G137">
        <v>8712449</v>
      </c>
    </row>
    <row r="138" spans="1:7" x14ac:dyDescent="0.2">
      <c r="A138" s="1">
        <v>45237</v>
      </c>
      <c r="B138">
        <v>1.72</v>
      </c>
      <c r="C138">
        <v>1.742</v>
      </c>
      <c r="D138">
        <v>1.7130000000000001</v>
      </c>
      <c r="E138">
        <v>1.7210000000000001</v>
      </c>
      <c r="F138">
        <v>1.7210000000000001</v>
      </c>
      <c r="G138">
        <v>5012443</v>
      </c>
    </row>
    <row r="139" spans="1:7" x14ac:dyDescent="0.2">
      <c r="A139" s="1">
        <v>45238</v>
      </c>
      <c r="B139">
        <v>1.71</v>
      </c>
      <c r="C139">
        <v>1.7575000000000001</v>
      </c>
      <c r="D139">
        <v>1.698</v>
      </c>
      <c r="E139">
        <v>1.7549999999999999</v>
      </c>
      <c r="F139">
        <v>1.7549999999999999</v>
      </c>
      <c r="G139">
        <v>5754935</v>
      </c>
    </row>
    <row r="140" spans="1:7" x14ac:dyDescent="0.2">
      <c r="A140" s="1">
        <v>45239</v>
      </c>
      <c r="B140">
        <v>1.744</v>
      </c>
      <c r="C140">
        <v>1.7735000000000001</v>
      </c>
      <c r="D140">
        <v>1.7424999999999999</v>
      </c>
      <c r="E140">
        <v>1.7675000000000001</v>
      </c>
      <c r="F140">
        <v>1.7675000000000001</v>
      </c>
      <c r="G140">
        <v>7329262</v>
      </c>
    </row>
    <row r="141" spans="1:7" x14ac:dyDescent="0.2">
      <c r="A141" s="1">
        <v>45240</v>
      </c>
      <c r="B141">
        <v>1.7585</v>
      </c>
      <c r="C141">
        <v>1.7585</v>
      </c>
      <c r="D141">
        <v>1.7290000000000001</v>
      </c>
      <c r="E141">
        <v>1.7330000000000001</v>
      </c>
      <c r="F141">
        <v>1.7330000000000001</v>
      </c>
      <c r="G141">
        <v>9476384</v>
      </c>
    </row>
    <row r="142" spans="1:7" x14ac:dyDescent="0.2">
      <c r="A142" s="1">
        <v>45243</v>
      </c>
      <c r="B142">
        <v>1.7470000000000001</v>
      </c>
      <c r="C142">
        <v>1.754</v>
      </c>
      <c r="D142">
        <v>1.7264999999999999</v>
      </c>
      <c r="E142">
        <v>1.746</v>
      </c>
      <c r="F142">
        <v>1.746</v>
      </c>
      <c r="G142">
        <v>9383422</v>
      </c>
    </row>
    <row r="143" spans="1:7" x14ac:dyDescent="0.2">
      <c r="A143" s="1">
        <v>45244</v>
      </c>
      <c r="B143">
        <v>1.75</v>
      </c>
      <c r="C143">
        <v>1.772</v>
      </c>
      <c r="D143">
        <v>1.7355</v>
      </c>
      <c r="E143">
        <v>1.7625</v>
      </c>
      <c r="F143">
        <v>1.7625</v>
      </c>
      <c r="G143">
        <v>9359111</v>
      </c>
    </row>
    <row r="144" spans="1:7" x14ac:dyDescent="0.2">
      <c r="A144" s="1">
        <v>45245</v>
      </c>
      <c r="B144">
        <v>1.772</v>
      </c>
      <c r="C144">
        <v>1.8420000000000001</v>
      </c>
      <c r="D144">
        <v>1.772</v>
      </c>
      <c r="E144">
        <v>1.841</v>
      </c>
      <c r="F144">
        <v>1.841</v>
      </c>
      <c r="G144">
        <v>21291060</v>
      </c>
    </row>
    <row r="145" spans="1:7" x14ac:dyDescent="0.2">
      <c r="A145" s="1">
        <v>45246</v>
      </c>
      <c r="B145">
        <v>1.8394999999999999</v>
      </c>
      <c r="C145">
        <v>1.851</v>
      </c>
      <c r="D145">
        <v>1.8015000000000001</v>
      </c>
      <c r="E145">
        <v>1.8260000000000001</v>
      </c>
      <c r="F145">
        <v>1.8260000000000001</v>
      </c>
      <c r="G145">
        <v>10641370</v>
      </c>
    </row>
    <row r="146" spans="1:7" x14ac:dyDescent="0.2">
      <c r="A146" s="1">
        <v>45247</v>
      </c>
      <c r="B146">
        <v>1.8440000000000001</v>
      </c>
      <c r="C146">
        <v>1.861</v>
      </c>
      <c r="D146">
        <v>1.8334999999999999</v>
      </c>
      <c r="E146">
        <v>1.8545</v>
      </c>
      <c r="F146">
        <v>1.8545</v>
      </c>
      <c r="G146">
        <v>18390990</v>
      </c>
    </row>
    <row r="147" spans="1:7" x14ac:dyDescent="0.2">
      <c r="A147" s="1">
        <v>45250</v>
      </c>
      <c r="B147">
        <v>1.8565</v>
      </c>
      <c r="C147">
        <v>1.8794999999999999</v>
      </c>
      <c r="D147">
        <v>1.8540000000000001</v>
      </c>
      <c r="E147">
        <v>1.8654999999999999</v>
      </c>
      <c r="F147">
        <v>1.8654999999999999</v>
      </c>
      <c r="G147">
        <v>10594743</v>
      </c>
    </row>
    <row r="148" spans="1:7" x14ac:dyDescent="0.2">
      <c r="A148" s="1">
        <v>45251</v>
      </c>
      <c r="B148">
        <v>1.877</v>
      </c>
      <c r="C148">
        <v>1.8925000000000001</v>
      </c>
      <c r="D148">
        <v>1.784</v>
      </c>
      <c r="E148">
        <v>1.784</v>
      </c>
      <c r="F148">
        <v>1.784</v>
      </c>
      <c r="G148">
        <v>23627721</v>
      </c>
    </row>
    <row r="149" spans="1:7" x14ac:dyDescent="0.2">
      <c r="A149" s="1">
        <v>45252</v>
      </c>
      <c r="B149">
        <v>1.7825</v>
      </c>
      <c r="C149">
        <v>1.8360000000000001</v>
      </c>
      <c r="D149">
        <v>1.776</v>
      </c>
      <c r="E149">
        <v>1.8240000000000001</v>
      </c>
      <c r="F149">
        <v>1.8240000000000001</v>
      </c>
      <c r="G149">
        <v>13775781</v>
      </c>
    </row>
    <row r="150" spans="1:7" x14ac:dyDescent="0.2">
      <c r="A150" s="1">
        <v>45253</v>
      </c>
      <c r="B150">
        <v>1.8260000000000001</v>
      </c>
      <c r="C150">
        <v>1.83</v>
      </c>
      <c r="D150">
        <v>1.762</v>
      </c>
      <c r="E150">
        <v>1.7675000000000001</v>
      </c>
      <c r="F150">
        <v>1.7675000000000001</v>
      </c>
      <c r="G150">
        <v>19267208</v>
      </c>
    </row>
    <row r="151" spans="1:7" x14ac:dyDescent="0.2">
      <c r="A151" s="1">
        <v>45254</v>
      </c>
      <c r="B151">
        <v>1.7715000000000001</v>
      </c>
      <c r="C151">
        <v>1.7789999999999999</v>
      </c>
      <c r="D151">
        <v>1.7569999999999999</v>
      </c>
      <c r="E151">
        <v>1.7689999999999999</v>
      </c>
      <c r="F151">
        <v>1.7689999999999999</v>
      </c>
      <c r="G151">
        <v>6669389</v>
      </c>
    </row>
    <row r="152" spans="1:7" x14ac:dyDescent="0.2">
      <c r="A152" s="1">
        <v>45257</v>
      </c>
      <c r="B152">
        <v>1.77</v>
      </c>
      <c r="C152">
        <v>1.7849999999999999</v>
      </c>
      <c r="D152">
        <v>1.7484999999999999</v>
      </c>
      <c r="E152">
        <v>1.7484999999999999</v>
      </c>
      <c r="F152">
        <v>1.7484999999999999</v>
      </c>
      <c r="G152">
        <v>8706739</v>
      </c>
    </row>
    <row r="153" spans="1:7" x14ac:dyDescent="0.2">
      <c r="A153" s="1">
        <v>45258</v>
      </c>
      <c r="B153">
        <v>1.74</v>
      </c>
      <c r="C153">
        <v>1.7625</v>
      </c>
      <c r="D153">
        <v>1.7355</v>
      </c>
      <c r="E153">
        <v>1.7575000000000001</v>
      </c>
      <c r="F153">
        <v>1.7575000000000001</v>
      </c>
      <c r="G153">
        <v>7402106</v>
      </c>
    </row>
    <row r="154" spans="1:7" x14ac:dyDescent="0.2">
      <c r="A154" s="1">
        <v>45259</v>
      </c>
      <c r="B154">
        <v>1.76</v>
      </c>
      <c r="C154">
        <v>1.7849999999999999</v>
      </c>
      <c r="D154">
        <v>1.76</v>
      </c>
      <c r="E154">
        <v>1.7775000000000001</v>
      </c>
      <c r="F154">
        <v>1.7775000000000001</v>
      </c>
      <c r="G154">
        <v>6440407</v>
      </c>
    </row>
    <row r="155" spans="1:7" x14ac:dyDescent="0.2">
      <c r="A155" s="1">
        <v>45260</v>
      </c>
      <c r="B155">
        <v>1.786</v>
      </c>
      <c r="C155">
        <v>1.7915000000000001</v>
      </c>
      <c r="D155">
        <v>1.758</v>
      </c>
      <c r="E155">
        <v>1.776</v>
      </c>
      <c r="F155">
        <v>1.776</v>
      </c>
      <c r="G155">
        <v>9278789</v>
      </c>
    </row>
    <row r="156" spans="1:7" x14ac:dyDescent="0.2">
      <c r="A156" s="1">
        <v>45261</v>
      </c>
      <c r="B156">
        <v>1.786</v>
      </c>
      <c r="C156">
        <v>1.827</v>
      </c>
      <c r="D156">
        <v>1.786</v>
      </c>
      <c r="E156">
        <v>1.827</v>
      </c>
      <c r="F156">
        <v>1.827</v>
      </c>
      <c r="G156">
        <v>13856791</v>
      </c>
    </row>
    <row r="157" spans="1:7" x14ac:dyDescent="0.2">
      <c r="A157" s="1">
        <v>45264</v>
      </c>
      <c r="B157">
        <v>1.829</v>
      </c>
      <c r="C157">
        <v>1.853</v>
      </c>
      <c r="D157">
        <v>1.8280000000000001</v>
      </c>
      <c r="E157">
        <v>1.8420000000000001</v>
      </c>
      <c r="F157">
        <v>1.8420000000000001</v>
      </c>
      <c r="G157">
        <v>8549104</v>
      </c>
    </row>
    <row r="158" spans="1:7" x14ac:dyDescent="0.2">
      <c r="A158" s="1">
        <v>45265</v>
      </c>
      <c r="B158">
        <v>1.84</v>
      </c>
      <c r="C158">
        <v>1.847</v>
      </c>
      <c r="D158">
        <v>1.8049999999999999</v>
      </c>
      <c r="E158">
        <v>1.8205</v>
      </c>
      <c r="F158">
        <v>1.8205</v>
      </c>
      <c r="G158">
        <v>8570080</v>
      </c>
    </row>
    <row r="159" spans="1:7" x14ac:dyDescent="0.2">
      <c r="A159" s="1">
        <v>45266</v>
      </c>
      <c r="B159">
        <v>1.8180000000000001</v>
      </c>
      <c r="C159">
        <v>1.887</v>
      </c>
      <c r="D159">
        <v>1.8174999999999999</v>
      </c>
      <c r="E159">
        <v>1.8855</v>
      </c>
      <c r="F159">
        <v>1.8855</v>
      </c>
      <c r="G159">
        <v>16327637</v>
      </c>
    </row>
    <row r="160" spans="1:7" x14ac:dyDescent="0.2">
      <c r="A160" s="1">
        <v>45267</v>
      </c>
      <c r="B160">
        <v>1.8494999999999999</v>
      </c>
      <c r="C160">
        <v>1.85</v>
      </c>
      <c r="D160">
        <v>1.8185</v>
      </c>
      <c r="E160">
        <v>1.8434999999999999</v>
      </c>
      <c r="F160">
        <v>1.8434999999999999</v>
      </c>
      <c r="G160">
        <v>14301314</v>
      </c>
    </row>
    <row r="161" spans="1:7" x14ac:dyDescent="0.2">
      <c r="A161" s="1">
        <v>45268</v>
      </c>
      <c r="B161">
        <v>1.8440000000000001</v>
      </c>
      <c r="C161">
        <v>1.8620000000000001</v>
      </c>
      <c r="D161">
        <v>1.8394999999999999</v>
      </c>
      <c r="E161">
        <v>1.849</v>
      </c>
      <c r="F161">
        <v>1.849</v>
      </c>
      <c r="G161">
        <v>7649514</v>
      </c>
    </row>
    <row r="162" spans="1:7" x14ac:dyDescent="0.2">
      <c r="A162" s="1">
        <v>45271</v>
      </c>
      <c r="B162">
        <v>1.8374999999999999</v>
      </c>
      <c r="C162">
        <v>1.843</v>
      </c>
      <c r="D162">
        <v>1.8154999999999999</v>
      </c>
      <c r="E162">
        <v>1.82</v>
      </c>
      <c r="F162">
        <v>1.82</v>
      </c>
      <c r="G162">
        <v>9587981</v>
      </c>
    </row>
    <row r="163" spans="1:7" x14ac:dyDescent="0.2">
      <c r="A163" s="1">
        <v>45272</v>
      </c>
      <c r="B163">
        <v>1.82</v>
      </c>
      <c r="C163">
        <v>1.8480000000000001</v>
      </c>
      <c r="D163">
        <v>1.8120000000000001</v>
      </c>
      <c r="E163">
        <v>1.8480000000000001</v>
      </c>
      <c r="F163">
        <v>1.8480000000000001</v>
      </c>
      <c r="G163">
        <v>7706408</v>
      </c>
    </row>
    <row r="164" spans="1:7" x14ac:dyDescent="0.2">
      <c r="A164" s="1">
        <v>45273</v>
      </c>
      <c r="B164">
        <v>1.8474999999999999</v>
      </c>
      <c r="C164">
        <v>1.851</v>
      </c>
      <c r="D164">
        <v>1.8105</v>
      </c>
      <c r="E164">
        <v>1.8105</v>
      </c>
      <c r="F164">
        <v>1.8105</v>
      </c>
      <c r="G164">
        <v>6553183</v>
      </c>
    </row>
    <row r="165" spans="1:7" x14ac:dyDescent="0.2">
      <c r="A165" s="1">
        <v>45274</v>
      </c>
      <c r="B165">
        <v>1.83</v>
      </c>
      <c r="C165">
        <v>1.8779999999999999</v>
      </c>
      <c r="D165">
        <v>1.8294999999999999</v>
      </c>
      <c r="E165">
        <v>1.8565</v>
      </c>
      <c r="F165">
        <v>1.8565</v>
      </c>
      <c r="G165">
        <v>14745121</v>
      </c>
    </row>
    <row r="166" spans="1:7" x14ac:dyDescent="0.2">
      <c r="A166" s="1">
        <v>45275</v>
      </c>
      <c r="B166">
        <v>1.8685</v>
      </c>
      <c r="C166">
        <v>1.8720000000000001</v>
      </c>
      <c r="D166">
        <v>1.833</v>
      </c>
      <c r="E166">
        <v>1.8545</v>
      </c>
      <c r="F166">
        <v>1.8545</v>
      </c>
      <c r="G166">
        <v>12420485</v>
      </c>
    </row>
    <row r="167" spans="1:7" x14ac:dyDescent="0.2">
      <c r="A167" s="1">
        <v>45278</v>
      </c>
      <c r="B167">
        <v>1.84</v>
      </c>
      <c r="C167">
        <v>1.845</v>
      </c>
      <c r="D167">
        <v>1.8169999999999999</v>
      </c>
      <c r="E167">
        <v>1.821</v>
      </c>
      <c r="F167">
        <v>1.821</v>
      </c>
      <c r="G167">
        <v>7172779</v>
      </c>
    </row>
    <row r="168" spans="1:7" x14ac:dyDescent="0.2">
      <c r="A168" s="1">
        <v>45279</v>
      </c>
      <c r="B168">
        <v>1.8169999999999999</v>
      </c>
      <c r="C168">
        <v>1.841</v>
      </c>
      <c r="D168">
        <v>1.806</v>
      </c>
      <c r="E168">
        <v>1.8380000000000001</v>
      </c>
      <c r="F168">
        <v>1.8380000000000001</v>
      </c>
      <c r="G168">
        <v>10752800</v>
      </c>
    </row>
    <row r="169" spans="1:7" x14ac:dyDescent="0.2">
      <c r="A169" s="1">
        <v>45280</v>
      </c>
      <c r="B169">
        <v>1.84</v>
      </c>
      <c r="C169">
        <v>1.8540000000000001</v>
      </c>
      <c r="D169">
        <v>1.8265</v>
      </c>
      <c r="E169">
        <v>1.8480000000000001</v>
      </c>
      <c r="F169">
        <v>1.8480000000000001</v>
      </c>
      <c r="G169">
        <v>4966261</v>
      </c>
    </row>
    <row r="170" spans="1:7" x14ac:dyDescent="0.2">
      <c r="A170" s="1">
        <v>45281</v>
      </c>
      <c r="B170">
        <v>1.83</v>
      </c>
      <c r="C170">
        <v>1.845</v>
      </c>
      <c r="D170">
        <v>1.827</v>
      </c>
      <c r="E170">
        <v>1.8334999999999999</v>
      </c>
      <c r="F170">
        <v>1.8334999999999999</v>
      </c>
      <c r="G170">
        <v>3693330</v>
      </c>
    </row>
    <row r="171" spans="1:7" x14ac:dyDescent="0.2">
      <c r="A171" s="1">
        <v>45282</v>
      </c>
      <c r="B171">
        <v>1.825</v>
      </c>
      <c r="C171">
        <v>1.8365</v>
      </c>
      <c r="D171">
        <v>1.8134999999999999</v>
      </c>
      <c r="E171">
        <v>1.8194999999999999</v>
      </c>
      <c r="F171">
        <v>1.8194999999999999</v>
      </c>
      <c r="G171">
        <v>3839595</v>
      </c>
    </row>
    <row r="172" spans="1:7" x14ac:dyDescent="0.2">
      <c r="A172" s="1">
        <v>45287</v>
      </c>
      <c r="B172">
        <v>1.8165</v>
      </c>
      <c r="C172">
        <v>1.825</v>
      </c>
      <c r="D172">
        <v>1.8075000000000001</v>
      </c>
      <c r="E172">
        <v>1.8145</v>
      </c>
      <c r="F172">
        <v>1.8145</v>
      </c>
      <c r="G172">
        <v>8274864</v>
      </c>
    </row>
    <row r="173" spans="1:7" x14ac:dyDescent="0.2">
      <c r="A173" s="1">
        <v>45288</v>
      </c>
      <c r="B173">
        <v>1.8174999999999999</v>
      </c>
      <c r="C173">
        <v>1.823</v>
      </c>
      <c r="D173">
        <v>1.7945</v>
      </c>
      <c r="E173">
        <v>1.8009999999999999</v>
      </c>
      <c r="F173">
        <v>1.8009999999999999</v>
      </c>
      <c r="G173">
        <v>6627743</v>
      </c>
    </row>
    <row r="174" spans="1:7" x14ac:dyDescent="0.2">
      <c r="A174" s="1">
        <v>45289</v>
      </c>
      <c r="B174">
        <v>1.7989999999999999</v>
      </c>
      <c r="C174">
        <v>1.8049999999999999</v>
      </c>
      <c r="D174">
        <v>1.7769999999999999</v>
      </c>
      <c r="E174">
        <v>1.7809999999999999</v>
      </c>
      <c r="F174">
        <v>1.7809999999999999</v>
      </c>
      <c r="G174">
        <v>8101788</v>
      </c>
    </row>
    <row r="175" spans="1:7" x14ac:dyDescent="0.2">
      <c r="A175" s="1">
        <v>45293</v>
      </c>
      <c r="B175">
        <v>1.78</v>
      </c>
      <c r="C175">
        <v>1.8254999999999999</v>
      </c>
      <c r="D175">
        <v>1.78</v>
      </c>
      <c r="E175">
        <v>1.7915000000000001</v>
      </c>
      <c r="F175">
        <v>1.7915000000000001</v>
      </c>
      <c r="G175">
        <v>6209331</v>
      </c>
    </row>
    <row r="176" spans="1:7" x14ac:dyDescent="0.2">
      <c r="A176" s="1">
        <v>45294</v>
      </c>
      <c r="B176">
        <v>1.7929999999999999</v>
      </c>
      <c r="C176">
        <v>1.798</v>
      </c>
      <c r="D176">
        <v>1.742</v>
      </c>
      <c r="E176">
        <v>1.742</v>
      </c>
      <c r="F176">
        <v>1.742</v>
      </c>
      <c r="G176">
        <v>10603424</v>
      </c>
    </row>
    <row r="177" spans="1:7" x14ac:dyDescent="0.2">
      <c r="A177" s="1">
        <v>45295</v>
      </c>
      <c r="B177">
        <v>1.736</v>
      </c>
      <c r="C177">
        <v>1.7755000000000001</v>
      </c>
      <c r="D177">
        <v>1.732</v>
      </c>
      <c r="E177">
        <v>1.7755000000000001</v>
      </c>
      <c r="F177">
        <v>1.7755000000000001</v>
      </c>
      <c r="G177">
        <v>6925782</v>
      </c>
    </row>
    <row r="178" spans="1:7" x14ac:dyDescent="0.2">
      <c r="A178" s="1">
        <v>45296</v>
      </c>
      <c r="B178">
        <v>1.7695000000000001</v>
      </c>
      <c r="C178">
        <v>1.7775000000000001</v>
      </c>
      <c r="D178">
        <v>1.7390000000000001</v>
      </c>
      <c r="E178">
        <v>1.7675000000000001</v>
      </c>
      <c r="F178">
        <v>1.7675000000000001</v>
      </c>
      <c r="G178">
        <v>7989034</v>
      </c>
    </row>
    <row r="179" spans="1:7" x14ac:dyDescent="0.2">
      <c r="A179" s="1">
        <v>45299</v>
      </c>
      <c r="B179">
        <v>1.76</v>
      </c>
      <c r="C179">
        <v>1.77</v>
      </c>
      <c r="D179">
        <v>1.7364999999999999</v>
      </c>
      <c r="E179">
        <v>1.7685</v>
      </c>
      <c r="F179">
        <v>1.7685</v>
      </c>
      <c r="G179">
        <v>5598800</v>
      </c>
    </row>
    <row r="180" spans="1:7" x14ac:dyDescent="0.2">
      <c r="A180" s="1">
        <v>45300</v>
      </c>
      <c r="B180">
        <v>1.7769999999999999</v>
      </c>
      <c r="C180">
        <v>1.7889999999999999</v>
      </c>
      <c r="D180">
        <v>1.736</v>
      </c>
      <c r="E180">
        <v>1.7549999999999999</v>
      </c>
      <c r="F180">
        <v>1.7549999999999999</v>
      </c>
      <c r="G180">
        <v>7810464</v>
      </c>
    </row>
    <row r="181" spans="1:7" x14ac:dyDescent="0.2">
      <c r="A181" s="1">
        <v>45301</v>
      </c>
      <c r="B181">
        <v>1.7549999999999999</v>
      </c>
      <c r="C181">
        <v>1.77</v>
      </c>
      <c r="D181">
        <v>1.738</v>
      </c>
      <c r="E181">
        <v>1.7490000000000001</v>
      </c>
      <c r="F181">
        <v>1.7490000000000001</v>
      </c>
      <c r="G181">
        <v>5163407</v>
      </c>
    </row>
    <row r="182" spans="1:7" x14ac:dyDescent="0.2">
      <c r="A182" s="1">
        <v>45302</v>
      </c>
      <c r="B182">
        <v>1.7524999999999999</v>
      </c>
      <c r="C182">
        <v>1.7845</v>
      </c>
      <c r="D182">
        <v>1.7275</v>
      </c>
      <c r="E182">
        <v>1.7275</v>
      </c>
      <c r="F182">
        <v>1.7275</v>
      </c>
      <c r="G182">
        <v>8532095</v>
      </c>
    </row>
    <row r="183" spans="1:7" x14ac:dyDescent="0.2">
      <c r="A183" s="1">
        <v>45303</v>
      </c>
      <c r="B183">
        <v>1.73</v>
      </c>
      <c r="C183">
        <v>1.7390000000000001</v>
      </c>
      <c r="D183">
        <v>1.6615</v>
      </c>
      <c r="E183">
        <v>1.6819999999999999</v>
      </c>
      <c r="F183">
        <v>1.6819999999999999</v>
      </c>
      <c r="G183">
        <v>20808100</v>
      </c>
    </row>
    <row r="184" spans="1:7" x14ac:dyDescent="0.2">
      <c r="A184" s="1">
        <v>45306</v>
      </c>
      <c r="B184">
        <v>1.6890000000000001</v>
      </c>
      <c r="C184">
        <v>1.706</v>
      </c>
      <c r="D184">
        <v>1.6859999999999999</v>
      </c>
      <c r="E184">
        <v>1.6930000000000001</v>
      </c>
      <c r="F184">
        <v>1.6930000000000001</v>
      </c>
      <c r="G184">
        <v>6883360</v>
      </c>
    </row>
    <row r="185" spans="1:7" x14ac:dyDescent="0.2">
      <c r="A185" s="1">
        <v>45307</v>
      </c>
      <c r="B185">
        <v>1.6739999999999999</v>
      </c>
      <c r="C185">
        <v>1.6815</v>
      </c>
      <c r="D185">
        <v>1.655</v>
      </c>
      <c r="E185">
        <v>1.657</v>
      </c>
      <c r="F185">
        <v>1.657</v>
      </c>
      <c r="G185">
        <v>10628406</v>
      </c>
    </row>
    <row r="186" spans="1:7" x14ac:dyDescent="0.2">
      <c r="A186" s="1">
        <v>45308</v>
      </c>
      <c r="B186">
        <v>1.6539999999999999</v>
      </c>
      <c r="C186">
        <v>1.675</v>
      </c>
      <c r="D186">
        <v>1.6519999999999999</v>
      </c>
      <c r="E186">
        <v>1.6555</v>
      </c>
      <c r="F186">
        <v>1.6555</v>
      </c>
      <c r="G186">
        <v>7951026</v>
      </c>
    </row>
    <row r="187" spans="1:7" x14ac:dyDescent="0.2">
      <c r="A187" s="1">
        <v>45309</v>
      </c>
      <c r="B187">
        <v>1.6625000000000001</v>
      </c>
      <c r="C187">
        <v>1.6859999999999999</v>
      </c>
      <c r="D187">
        <v>1.647</v>
      </c>
      <c r="E187">
        <v>1.6835</v>
      </c>
      <c r="F187">
        <v>1.6835</v>
      </c>
      <c r="G187">
        <v>17119108</v>
      </c>
    </row>
    <row r="188" spans="1:7" x14ac:dyDescent="0.2">
      <c r="A188" s="1">
        <v>45310</v>
      </c>
      <c r="B188">
        <v>1.7024999999999999</v>
      </c>
      <c r="C188">
        <v>1.71</v>
      </c>
      <c r="D188">
        <v>1.6755</v>
      </c>
      <c r="E188">
        <v>1.6755</v>
      </c>
      <c r="F188">
        <v>1.6755</v>
      </c>
      <c r="G188">
        <v>6667272</v>
      </c>
    </row>
    <row r="189" spans="1:7" x14ac:dyDescent="0.2">
      <c r="A189" s="1">
        <v>45313</v>
      </c>
      <c r="B189">
        <v>1.69</v>
      </c>
      <c r="C189">
        <v>1.7070000000000001</v>
      </c>
      <c r="D189">
        <v>1.6839999999999999</v>
      </c>
      <c r="E189">
        <v>1.6955</v>
      </c>
      <c r="F189">
        <v>1.6955</v>
      </c>
      <c r="G189">
        <v>5613098</v>
      </c>
    </row>
    <row r="190" spans="1:7" x14ac:dyDescent="0.2">
      <c r="A190" s="1">
        <v>45314</v>
      </c>
      <c r="B190">
        <v>1.702</v>
      </c>
      <c r="C190">
        <v>1.744</v>
      </c>
      <c r="D190">
        <v>1.6870000000000001</v>
      </c>
      <c r="E190">
        <v>1.7330000000000001</v>
      </c>
      <c r="F190">
        <v>1.7330000000000001</v>
      </c>
      <c r="G190">
        <v>14740741</v>
      </c>
    </row>
    <row r="191" spans="1:7" x14ac:dyDescent="0.2">
      <c r="A191" s="1">
        <v>45315</v>
      </c>
      <c r="B191">
        <v>1.75</v>
      </c>
      <c r="C191">
        <v>1.792</v>
      </c>
      <c r="D191">
        <v>1.7490000000000001</v>
      </c>
      <c r="E191">
        <v>1.792</v>
      </c>
      <c r="F191">
        <v>1.792</v>
      </c>
      <c r="G191">
        <v>12018404</v>
      </c>
    </row>
    <row r="192" spans="1:7" x14ac:dyDescent="0.2">
      <c r="A192" s="1">
        <v>45316</v>
      </c>
      <c r="B192">
        <v>1.78</v>
      </c>
      <c r="C192">
        <v>1.8440000000000001</v>
      </c>
      <c r="D192">
        <v>1.7725</v>
      </c>
      <c r="E192">
        <v>1.819</v>
      </c>
      <c r="F192">
        <v>1.819</v>
      </c>
      <c r="G192">
        <v>12847147</v>
      </c>
    </row>
    <row r="193" spans="1:7" x14ac:dyDescent="0.2">
      <c r="A193" s="1">
        <v>45317</v>
      </c>
      <c r="B193">
        <v>1.819</v>
      </c>
      <c r="C193">
        <v>1.8294999999999999</v>
      </c>
      <c r="D193">
        <v>1.7969999999999999</v>
      </c>
      <c r="E193">
        <v>1.8075000000000001</v>
      </c>
      <c r="F193">
        <v>1.8075000000000001</v>
      </c>
      <c r="G193">
        <v>6451299</v>
      </c>
    </row>
    <row r="194" spans="1:7" x14ac:dyDescent="0.2">
      <c r="A194" s="1">
        <v>45320</v>
      </c>
      <c r="B194">
        <v>1.7895000000000001</v>
      </c>
      <c r="C194">
        <v>1.8015000000000001</v>
      </c>
      <c r="D194">
        <v>1.7645</v>
      </c>
      <c r="E194">
        <v>1.7915000000000001</v>
      </c>
      <c r="F194">
        <v>1.7915000000000001</v>
      </c>
      <c r="G194">
        <v>5956187</v>
      </c>
    </row>
    <row r="195" spans="1:7" x14ac:dyDescent="0.2">
      <c r="A195" s="1">
        <v>45321</v>
      </c>
      <c r="B195">
        <v>1.7769999999999999</v>
      </c>
      <c r="C195">
        <v>1.7935000000000001</v>
      </c>
      <c r="D195">
        <v>1.7490000000000001</v>
      </c>
      <c r="E195">
        <v>1.756</v>
      </c>
      <c r="F195">
        <v>1.756</v>
      </c>
      <c r="G195">
        <v>10217208</v>
      </c>
    </row>
    <row r="196" spans="1:7" x14ac:dyDescent="0.2">
      <c r="A196" s="1">
        <v>45322</v>
      </c>
      <c r="B196">
        <v>1.7544999999999999</v>
      </c>
      <c r="C196">
        <v>1.7655000000000001</v>
      </c>
      <c r="D196">
        <v>1.728</v>
      </c>
      <c r="E196">
        <v>1.7355</v>
      </c>
      <c r="F196">
        <v>1.7355</v>
      </c>
      <c r="G196">
        <v>9028514</v>
      </c>
    </row>
    <row r="197" spans="1:7" x14ac:dyDescent="0.2">
      <c r="A197" s="1">
        <v>45323</v>
      </c>
      <c r="B197">
        <v>1.718</v>
      </c>
      <c r="C197">
        <v>1.7475000000000001</v>
      </c>
      <c r="D197">
        <v>1.7084999999999999</v>
      </c>
      <c r="E197">
        <v>1.7084999999999999</v>
      </c>
      <c r="F197">
        <v>1.7084999999999999</v>
      </c>
      <c r="G197">
        <v>8379355</v>
      </c>
    </row>
    <row r="198" spans="1:7" x14ac:dyDescent="0.2">
      <c r="A198" s="1">
        <v>45324</v>
      </c>
      <c r="B198">
        <v>1.73</v>
      </c>
      <c r="C198">
        <v>1.752</v>
      </c>
      <c r="D198">
        <v>1.72</v>
      </c>
      <c r="E198">
        <v>1.724</v>
      </c>
      <c r="F198">
        <v>1.724</v>
      </c>
      <c r="G198">
        <v>6088604</v>
      </c>
    </row>
    <row r="199" spans="1:7" x14ac:dyDescent="0.2">
      <c r="A199" s="1">
        <v>45327</v>
      </c>
      <c r="B199">
        <v>1.73</v>
      </c>
      <c r="C199">
        <v>1.7515000000000001</v>
      </c>
      <c r="D199">
        <v>1.7075</v>
      </c>
      <c r="E199">
        <v>1.7075</v>
      </c>
      <c r="F199">
        <v>1.7075</v>
      </c>
      <c r="G199">
        <v>5855799</v>
      </c>
    </row>
    <row r="200" spans="1:7" x14ac:dyDescent="0.2">
      <c r="A200" s="1">
        <v>45328</v>
      </c>
      <c r="B200">
        <v>1.722</v>
      </c>
      <c r="C200">
        <v>1.7350000000000001</v>
      </c>
      <c r="D200">
        <v>1.7070000000000001</v>
      </c>
      <c r="E200">
        <v>1.7350000000000001</v>
      </c>
      <c r="F200">
        <v>1.7350000000000001</v>
      </c>
      <c r="G200">
        <v>5644125</v>
      </c>
    </row>
    <row r="201" spans="1:7" x14ac:dyDescent="0.2">
      <c r="A201" s="1">
        <v>45329</v>
      </c>
      <c r="B201">
        <v>1.72</v>
      </c>
      <c r="C201">
        <v>1.7404999999999999</v>
      </c>
      <c r="D201">
        <v>1.7155</v>
      </c>
      <c r="E201">
        <v>1.718</v>
      </c>
      <c r="F201">
        <v>1.718</v>
      </c>
      <c r="G201">
        <v>5225843</v>
      </c>
    </row>
    <row r="202" spans="1:7" x14ac:dyDescent="0.2">
      <c r="A202" s="1">
        <v>45330</v>
      </c>
      <c r="B202">
        <v>1.7195</v>
      </c>
      <c r="C202">
        <v>1.732</v>
      </c>
      <c r="D202">
        <v>1.694</v>
      </c>
      <c r="E202">
        <v>1.698</v>
      </c>
      <c r="F202">
        <v>1.698</v>
      </c>
      <c r="G202">
        <v>5719521</v>
      </c>
    </row>
    <row r="203" spans="1:7" x14ac:dyDescent="0.2">
      <c r="A203" s="1">
        <v>45331</v>
      </c>
      <c r="B203">
        <v>1.7</v>
      </c>
      <c r="C203">
        <v>1.706</v>
      </c>
      <c r="D203">
        <v>1.6825000000000001</v>
      </c>
      <c r="E203">
        <v>1.6825000000000001</v>
      </c>
      <c r="F203">
        <v>1.6825000000000001</v>
      </c>
      <c r="G203">
        <v>9803507</v>
      </c>
    </row>
    <row r="204" spans="1:7" x14ac:dyDescent="0.2">
      <c r="A204" s="1">
        <v>45334</v>
      </c>
      <c r="B204">
        <v>1.6970000000000001</v>
      </c>
      <c r="C204">
        <v>1.7215</v>
      </c>
      <c r="D204">
        <v>1.6895</v>
      </c>
      <c r="E204">
        <v>1.7084999999999999</v>
      </c>
      <c r="F204">
        <v>1.7084999999999999</v>
      </c>
      <c r="G204">
        <v>5069562</v>
      </c>
    </row>
    <row r="205" spans="1:7" x14ac:dyDescent="0.2">
      <c r="A205" s="1">
        <v>45335</v>
      </c>
      <c r="B205">
        <v>1.7090000000000001</v>
      </c>
      <c r="C205">
        <v>1.7090000000000001</v>
      </c>
      <c r="D205">
        <v>1.673</v>
      </c>
      <c r="E205">
        <v>1.6830000000000001</v>
      </c>
      <c r="F205">
        <v>1.6830000000000001</v>
      </c>
      <c r="G205">
        <v>8936406</v>
      </c>
    </row>
    <row r="206" spans="1:7" x14ac:dyDescent="0.2">
      <c r="A206" s="1">
        <v>45336</v>
      </c>
      <c r="B206">
        <v>1.681</v>
      </c>
      <c r="C206">
        <v>1.696</v>
      </c>
      <c r="D206">
        <v>1.673</v>
      </c>
      <c r="E206">
        <v>1.6879999999999999</v>
      </c>
      <c r="F206">
        <v>1.6879999999999999</v>
      </c>
      <c r="G206">
        <v>5185459</v>
      </c>
    </row>
    <row r="207" spans="1:7" x14ac:dyDescent="0.2">
      <c r="A207" s="1">
        <v>45337</v>
      </c>
      <c r="B207">
        <v>1.6950000000000001</v>
      </c>
      <c r="C207">
        <v>1.7395</v>
      </c>
      <c r="D207">
        <v>1.6919999999999999</v>
      </c>
      <c r="E207">
        <v>1.7150000000000001</v>
      </c>
      <c r="F207">
        <v>1.7150000000000001</v>
      </c>
      <c r="G207">
        <v>7953541</v>
      </c>
    </row>
    <row r="208" spans="1:7" x14ac:dyDescent="0.2">
      <c r="A208" s="1">
        <v>45338</v>
      </c>
      <c r="B208">
        <v>1.7224999999999999</v>
      </c>
      <c r="C208">
        <v>1.726</v>
      </c>
      <c r="D208">
        <v>1.6970000000000001</v>
      </c>
      <c r="E208">
        <v>1.7044999999999999</v>
      </c>
      <c r="F208">
        <v>1.7044999999999999</v>
      </c>
      <c r="G208">
        <v>6373519</v>
      </c>
    </row>
    <row r="209" spans="1:7" x14ac:dyDescent="0.2">
      <c r="A209" s="1">
        <v>45341</v>
      </c>
      <c r="B209">
        <v>1.7</v>
      </c>
      <c r="C209">
        <v>1.712</v>
      </c>
      <c r="D209">
        <v>1.698</v>
      </c>
      <c r="E209">
        <v>1.712</v>
      </c>
      <c r="F209">
        <v>1.712</v>
      </c>
      <c r="G209">
        <v>3493938</v>
      </c>
    </row>
    <row r="210" spans="1:7" x14ac:dyDescent="0.2">
      <c r="A210" s="1">
        <v>45342</v>
      </c>
      <c r="B210">
        <v>1.7044999999999999</v>
      </c>
      <c r="C210">
        <v>1.736</v>
      </c>
      <c r="D210">
        <v>1.7044999999999999</v>
      </c>
      <c r="E210">
        <v>1.726</v>
      </c>
      <c r="F210">
        <v>1.726</v>
      </c>
      <c r="G210">
        <v>6474514</v>
      </c>
    </row>
    <row r="211" spans="1:7" x14ac:dyDescent="0.2">
      <c r="A211" s="1">
        <v>45343</v>
      </c>
      <c r="B211">
        <v>1.7304999999999999</v>
      </c>
      <c r="C211">
        <v>1.76</v>
      </c>
      <c r="D211">
        <v>1.7235</v>
      </c>
      <c r="E211">
        <v>1.756</v>
      </c>
      <c r="F211">
        <v>1.756</v>
      </c>
      <c r="G211">
        <v>8088551</v>
      </c>
    </row>
    <row r="212" spans="1:7" x14ac:dyDescent="0.2">
      <c r="A212" s="1">
        <v>45344</v>
      </c>
      <c r="B212">
        <v>1.77</v>
      </c>
      <c r="C212">
        <v>1.8</v>
      </c>
      <c r="D212">
        <v>1.7605</v>
      </c>
      <c r="E212">
        <v>1.7965</v>
      </c>
      <c r="F212">
        <v>1.7965</v>
      </c>
      <c r="G212">
        <v>19813093</v>
      </c>
    </row>
    <row r="213" spans="1:7" x14ac:dyDescent="0.2">
      <c r="A213" s="1">
        <v>45345</v>
      </c>
      <c r="B213">
        <v>1.7929999999999999</v>
      </c>
      <c r="C213">
        <v>1.794</v>
      </c>
      <c r="D213">
        <v>1.75</v>
      </c>
      <c r="E213">
        <v>1.784</v>
      </c>
      <c r="F213">
        <v>1.784</v>
      </c>
      <c r="G213">
        <v>11581178</v>
      </c>
    </row>
    <row r="214" spans="1:7" x14ac:dyDescent="0.2">
      <c r="A214" s="1">
        <v>45348</v>
      </c>
      <c r="B214">
        <v>1.7849999999999999</v>
      </c>
      <c r="C214">
        <v>1.825</v>
      </c>
      <c r="D214">
        <v>1.7849999999999999</v>
      </c>
      <c r="E214">
        <v>1.8075000000000001</v>
      </c>
      <c r="F214">
        <v>1.8075000000000001</v>
      </c>
      <c r="G214">
        <v>9224864</v>
      </c>
    </row>
    <row r="215" spans="1:7" x14ac:dyDescent="0.2">
      <c r="A215" s="1">
        <v>45349</v>
      </c>
      <c r="B215">
        <v>1.8049999999999999</v>
      </c>
      <c r="C215">
        <v>1.8260000000000001</v>
      </c>
      <c r="D215">
        <v>1.798</v>
      </c>
      <c r="E215">
        <v>1.8254999999999999</v>
      </c>
      <c r="F215">
        <v>1.8254999999999999</v>
      </c>
      <c r="G215">
        <v>7414964</v>
      </c>
    </row>
    <row r="216" spans="1:7" x14ac:dyDescent="0.2">
      <c r="A216" s="1">
        <v>45350</v>
      </c>
      <c r="B216">
        <v>1.8254999999999999</v>
      </c>
      <c r="C216">
        <v>1.831</v>
      </c>
      <c r="D216">
        <v>1.784</v>
      </c>
      <c r="E216">
        <v>1.786</v>
      </c>
      <c r="F216">
        <v>1.786</v>
      </c>
      <c r="G216">
        <v>8953255</v>
      </c>
    </row>
    <row r="217" spans="1:7" x14ac:dyDescent="0.2">
      <c r="A217" s="1">
        <v>45351</v>
      </c>
      <c r="B217">
        <v>1.821</v>
      </c>
      <c r="C217">
        <v>1.8340000000000001</v>
      </c>
      <c r="D217">
        <v>1.726</v>
      </c>
      <c r="E217">
        <v>1.7270000000000001</v>
      </c>
      <c r="F217">
        <v>1.7270000000000001</v>
      </c>
      <c r="G217">
        <v>27594692</v>
      </c>
    </row>
    <row r="218" spans="1:7" x14ac:dyDescent="0.2">
      <c r="A218" s="1">
        <v>45352</v>
      </c>
      <c r="B218">
        <v>1.7450000000000001</v>
      </c>
      <c r="C218">
        <v>1.7595000000000001</v>
      </c>
      <c r="D218">
        <v>1.714</v>
      </c>
      <c r="E218">
        <v>1.714</v>
      </c>
      <c r="F218">
        <v>1.714</v>
      </c>
      <c r="G218">
        <v>12356338</v>
      </c>
    </row>
    <row r="219" spans="1:7" x14ac:dyDescent="0.2">
      <c r="A219" s="1">
        <v>45355</v>
      </c>
      <c r="B219">
        <v>1.7104999999999999</v>
      </c>
      <c r="C219">
        <v>1.7230000000000001</v>
      </c>
      <c r="D219">
        <v>1.6859999999999999</v>
      </c>
      <c r="E219">
        <v>1.6919999999999999</v>
      </c>
      <c r="F219">
        <v>1.6919999999999999</v>
      </c>
      <c r="G219">
        <v>14598128</v>
      </c>
    </row>
    <row r="220" spans="1:7" x14ac:dyDescent="0.2">
      <c r="A220" s="1">
        <v>45356</v>
      </c>
      <c r="B220">
        <v>1.69</v>
      </c>
      <c r="C220">
        <v>1.69</v>
      </c>
      <c r="D220">
        <v>1.657</v>
      </c>
      <c r="E220">
        <v>1.6595</v>
      </c>
      <c r="F220">
        <v>1.6595</v>
      </c>
      <c r="G220">
        <v>22632587</v>
      </c>
    </row>
    <row r="221" spans="1:7" x14ac:dyDescent="0.2">
      <c r="A221" s="1">
        <v>45357</v>
      </c>
      <c r="B221">
        <v>1.7010000000000001</v>
      </c>
      <c r="C221">
        <v>1.754</v>
      </c>
      <c r="D221">
        <v>1.698</v>
      </c>
      <c r="E221">
        <v>1.7424999999999999</v>
      </c>
      <c r="F221">
        <v>1.7424999999999999</v>
      </c>
      <c r="G221">
        <v>18275321</v>
      </c>
    </row>
    <row r="222" spans="1:7" x14ac:dyDescent="0.2">
      <c r="A222" s="1">
        <v>45358</v>
      </c>
      <c r="B222">
        <v>1.7475000000000001</v>
      </c>
      <c r="C222">
        <v>1.7849999999999999</v>
      </c>
      <c r="D222">
        <v>1.744</v>
      </c>
      <c r="E222">
        <v>1.7829999999999999</v>
      </c>
      <c r="F222">
        <v>1.7829999999999999</v>
      </c>
      <c r="G222">
        <v>15502424</v>
      </c>
    </row>
    <row r="223" spans="1:7" x14ac:dyDescent="0.2">
      <c r="A223" s="1">
        <v>45359</v>
      </c>
      <c r="B223">
        <v>1.7829999999999999</v>
      </c>
      <c r="C223">
        <v>1.806</v>
      </c>
      <c r="D223">
        <v>1.77</v>
      </c>
      <c r="E223">
        <v>1.7869999999999999</v>
      </c>
      <c r="F223">
        <v>1.7869999999999999</v>
      </c>
      <c r="G223">
        <v>10199396</v>
      </c>
    </row>
    <row r="224" spans="1:7" x14ac:dyDescent="0.2">
      <c r="A224" s="1">
        <v>45362</v>
      </c>
      <c r="B224">
        <v>1.7849999999999999</v>
      </c>
      <c r="C224">
        <v>1.7989999999999999</v>
      </c>
      <c r="D224">
        <v>1.77</v>
      </c>
      <c r="E224">
        <v>1.798</v>
      </c>
      <c r="F224">
        <v>1.798</v>
      </c>
      <c r="G224">
        <v>8311482</v>
      </c>
    </row>
    <row r="225" spans="1:7" x14ac:dyDescent="0.2">
      <c r="A225" s="1">
        <v>45363</v>
      </c>
      <c r="B225">
        <v>1.81</v>
      </c>
      <c r="C225">
        <v>1.819</v>
      </c>
      <c r="D225">
        <v>1.7689999999999999</v>
      </c>
      <c r="E225">
        <v>1.8045</v>
      </c>
      <c r="F225">
        <v>1.8045</v>
      </c>
      <c r="G225">
        <v>14354417</v>
      </c>
    </row>
    <row r="226" spans="1:7" x14ac:dyDescent="0.2">
      <c r="A226" s="1">
        <v>45364</v>
      </c>
      <c r="B226">
        <v>1.8049999999999999</v>
      </c>
      <c r="C226">
        <v>1.819</v>
      </c>
      <c r="D226">
        <v>1.7949999999999999</v>
      </c>
      <c r="E226">
        <v>1.8029999999999999</v>
      </c>
      <c r="F226">
        <v>1.8029999999999999</v>
      </c>
      <c r="G226">
        <v>10106595</v>
      </c>
    </row>
    <row r="227" spans="1:7" x14ac:dyDescent="0.2">
      <c r="A227" s="1">
        <v>45365</v>
      </c>
      <c r="B227">
        <v>1.8029999999999999</v>
      </c>
      <c r="C227">
        <v>1.8109999999999999</v>
      </c>
      <c r="D227">
        <v>1.7424999999999999</v>
      </c>
      <c r="E227">
        <v>1.744</v>
      </c>
      <c r="F227">
        <v>1.744</v>
      </c>
      <c r="G227">
        <v>11516088</v>
      </c>
    </row>
    <row r="228" spans="1:7" x14ac:dyDescent="0.2">
      <c r="A228" s="1">
        <v>45366</v>
      </c>
      <c r="B228">
        <v>1.7955000000000001</v>
      </c>
      <c r="C228">
        <v>1.859</v>
      </c>
      <c r="D228">
        <v>1.786</v>
      </c>
      <c r="E228">
        <v>1.8514999999999999</v>
      </c>
      <c r="F228">
        <v>1.8514999999999999</v>
      </c>
      <c r="G228">
        <v>45913142</v>
      </c>
    </row>
    <row r="229" spans="1:7" x14ac:dyDescent="0.2">
      <c r="A229" s="1">
        <v>45369</v>
      </c>
      <c r="B229">
        <v>1.859</v>
      </c>
      <c r="C229">
        <v>1.8959999999999999</v>
      </c>
      <c r="D229">
        <v>1.831</v>
      </c>
      <c r="E229">
        <v>1.833</v>
      </c>
      <c r="F229">
        <v>1.833</v>
      </c>
      <c r="G229">
        <v>14908784</v>
      </c>
    </row>
    <row r="230" spans="1:7" x14ac:dyDescent="0.2">
      <c r="A230" s="1">
        <v>45370</v>
      </c>
      <c r="B230">
        <v>1.833</v>
      </c>
      <c r="C230">
        <v>1.8720000000000001</v>
      </c>
      <c r="D230">
        <v>1.8220000000000001</v>
      </c>
      <c r="E230">
        <v>1.8720000000000001</v>
      </c>
      <c r="F230">
        <v>1.8720000000000001</v>
      </c>
      <c r="G230">
        <v>7744175</v>
      </c>
    </row>
    <row r="231" spans="1:7" x14ac:dyDescent="0.2">
      <c r="A231" s="1">
        <v>45371</v>
      </c>
      <c r="B231">
        <v>1.8714999999999999</v>
      </c>
      <c r="C231">
        <v>1.8945000000000001</v>
      </c>
      <c r="D231">
        <v>1.869</v>
      </c>
      <c r="E231">
        <v>1.8945000000000001</v>
      </c>
      <c r="F231">
        <v>1.8945000000000001</v>
      </c>
      <c r="G231">
        <v>11495183</v>
      </c>
    </row>
    <row r="232" spans="1:7" x14ac:dyDescent="0.2">
      <c r="A232" s="1">
        <v>45372</v>
      </c>
      <c r="B232">
        <v>1.9045000000000001</v>
      </c>
      <c r="C232">
        <v>1.952</v>
      </c>
      <c r="D232">
        <v>1.9039999999999999</v>
      </c>
      <c r="E232">
        <v>1.9424999999999999</v>
      </c>
      <c r="F232">
        <v>1.9424999999999999</v>
      </c>
      <c r="G232">
        <v>22040017</v>
      </c>
    </row>
    <row r="233" spans="1:7" x14ac:dyDescent="0.2">
      <c r="A233" s="1">
        <v>45373</v>
      </c>
      <c r="B233">
        <v>1.94</v>
      </c>
      <c r="C233">
        <v>1.9455</v>
      </c>
      <c r="D233">
        <v>1.9125000000000001</v>
      </c>
      <c r="E233">
        <v>1.9155</v>
      </c>
      <c r="F233">
        <v>1.9155</v>
      </c>
      <c r="G233">
        <v>11638137</v>
      </c>
    </row>
    <row r="234" spans="1:7" x14ac:dyDescent="0.2">
      <c r="A234" s="1">
        <v>45376</v>
      </c>
      <c r="B234">
        <v>1.91</v>
      </c>
      <c r="C234">
        <v>1.917</v>
      </c>
      <c r="D234">
        <v>1.8779999999999999</v>
      </c>
      <c r="E234">
        <v>1.897</v>
      </c>
      <c r="F234">
        <v>1.897</v>
      </c>
      <c r="G234">
        <v>7825878</v>
      </c>
    </row>
    <row r="235" spans="1:7" x14ac:dyDescent="0.2">
      <c r="A235" s="1">
        <v>45377</v>
      </c>
      <c r="B235">
        <v>1.8919999999999999</v>
      </c>
      <c r="C235">
        <v>1.9335</v>
      </c>
      <c r="D235">
        <v>1.8919999999999999</v>
      </c>
      <c r="E235">
        <v>1.9335</v>
      </c>
      <c r="F235">
        <v>1.9335</v>
      </c>
      <c r="G235">
        <v>8357205</v>
      </c>
    </row>
    <row r="236" spans="1:7" x14ac:dyDescent="0.2">
      <c r="A236" s="1">
        <v>45378</v>
      </c>
      <c r="B236">
        <v>1.9430000000000001</v>
      </c>
      <c r="C236">
        <v>1.998</v>
      </c>
      <c r="D236">
        <v>1.9350000000000001</v>
      </c>
      <c r="E236">
        <v>1.998</v>
      </c>
      <c r="F236">
        <v>1.998</v>
      </c>
      <c r="G236">
        <v>26977364</v>
      </c>
    </row>
    <row r="237" spans="1:7" x14ac:dyDescent="0.2">
      <c r="A237" s="1">
        <v>45379</v>
      </c>
      <c r="B237">
        <v>2</v>
      </c>
      <c r="C237">
        <v>2.077</v>
      </c>
      <c r="D237">
        <v>1.996</v>
      </c>
      <c r="E237">
        <v>2.0699999999999998</v>
      </c>
      <c r="F237">
        <v>2.0699999999999998</v>
      </c>
      <c r="G237">
        <v>25733067</v>
      </c>
    </row>
    <row r="238" spans="1:7" x14ac:dyDescent="0.2">
      <c r="A238" s="1">
        <v>45384</v>
      </c>
      <c r="B238">
        <v>2.0590000000000002</v>
      </c>
      <c r="C238">
        <v>2.08</v>
      </c>
      <c r="D238">
        <v>2.0070000000000001</v>
      </c>
      <c r="E238">
        <v>2.0339999999999998</v>
      </c>
      <c r="F238">
        <v>2.0339999999999998</v>
      </c>
      <c r="G238">
        <v>20905378</v>
      </c>
    </row>
    <row r="239" spans="1:7" x14ac:dyDescent="0.2">
      <c r="A239" s="1">
        <v>45385</v>
      </c>
      <c r="B239">
        <v>2.0310000000000001</v>
      </c>
      <c r="C239">
        <v>2.048</v>
      </c>
      <c r="D239">
        <v>2.016</v>
      </c>
      <c r="E239">
        <v>2.04</v>
      </c>
      <c r="F239">
        <v>2.04</v>
      </c>
      <c r="G239">
        <v>9248904</v>
      </c>
    </row>
    <row r="240" spans="1:7" x14ac:dyDescent="0.2">
      <c r="A240" s="1">
        <v>45386</v>
      </c>
      <c r="B240">
        <v>2.0529999999999999</v>
      </c>
      <c r="C240">
        <v>2.0640000000000001</v>
      </c>
      <c r="D240">
        <v>2.02</v>
      </c>
      <c r="E240">
        <v>2.0619999999999998</v>
      </c>
      <c r="F240">
        <v>2.0619999999999998</v>
      </c>
      <c r="G240">
        <v>16946014</v>
      </c>
    </row>
    <row r="241" spans="1:7" x14ac:dyDescent="0.2">
      <c r="A241" s="1">
        <v>45387</v>
      </c>
      <c r="B241">
        <v>2.0209999999999999</v>
      </c>
      <c r="C241">
        <v>2.06</v>
      </c>
      <c r="D241">
        <v>1.901</v>
      </c>
      <c r="E241">
        <v>1.9990000000000001</v>
      </c>
      <c r="F241">
        <v>1.9990000000000001</v>
      </c>
      <c r="G241">
        <v>27963476</v>
      </c>
    </row>
    <row r="242" spans="1:7" x14ac:dyDescent="0.2">
      <c r="A242" s="1">
        <v>45390</v>
      </c>
      <c r="B242">
        <v>2.0129999999999999</v>
      </c>
      <c r="C242">
        <v>2.0499999999999998</v>
      </c>
      <c r="D242">
        <v>1.996</v>
      </c>
      <c r="E242">
        <v>2.0470000000000002</v>
      </c>
      <c r="F242">
        <v>2.0470000000000002</v>
      </c>
      <c r="G242">
        <v>8315003</v>
      </c>
    </row>
    <row r="243" spans="1:7" x14ac:dyDescent="0.2">
      <c r="A243" s="1">
        <v>45391</v>
      </c>
      <c r="B243">
        <v>2.0419999999999998</v>
      </c>
      <c r="C243">
        <v>2.0649999999999999</v>
      </c>
      <c r="D243">
        <v>2.0299999999999998</v>
      </c>
      <c r="E243">
        <v>2.0350000000000001</v>
      </c>
      <c r="F243">
        <v>2.0350000000000001</v>
      </c>
      <c r="G243">
        <v>9842842</v>
      </c>
    </row>
    <row r="244" spans="1:7" x14ac:dyDescent="0.2">
      <c r="A244" s="1">
        <v>45392</v>
      </c>
      <c r="B244">
        <v>2.0489999999999999</v>
      </c>
      <c r="C244">
        <v>2.09</v>
      </c>
      <c r="D244">
        <v>2.0249999999999999</v>
      </c>
      <c r="E244">
        <v>2.052</v>
      </c>
      <c r="F244">
        <v>2.052</v>
      </c>
      <c r="G244">
        <v>25668796</v>
      </c>
    </row>
    <row r="245" spans="1:7" x14ac:dyDescent="0.2">
      <c r="A245" s="1">
        <v>45393</v>
      </c>
      <c r="B245">
        <v>2.048</v>
      </c>
      <c r="C245">
        <v>2.0489999999999999</v>
      </c>
      <c r="D245">
        <v>1.956</v>
      </c>
      <c r="E245">
        <v>1.9730000000000001</v>
      </c>
      <c r="F245">
        <v>1.9730000000000001</v>
      </c>
      <c r="G245">
        <v>39253026</v>
      </c>
    </row>
    <row r="246" spans="1:7" x14ac:dyDescent="0.2">
      <c r="A246" s="1">
        <v>45394</v>
      </c>
      <c r="B246">
        <v>2</v>
      </c>
      <c r="C246">
        <v>2.008</v>
      </c>
      <c r="D246">
        <v>1.889</v>
      </c>
      <c r="E246">
        <v>1.901</v>
      </c>
      <c r="F246">
        <v>1.901</v>
      </c>
      <c r="G246">
        <v>20163905</v>
      </c>
    </row>
    <row r="247" spans="1:7" x14ac:dyDescent="0.2">
      <c r="A247" s="1">
        <v>45397</v>
      </c>
      <c r="B247">
        <v>1.88</v>
      </c>
      <c r="C247">
        <v>1.94</v>
      </c>
      <c r="D247">
        <v>1.87</v>
      </c>
      <c r="E247">
        <v>1.8815</v>
      </c>
      <c r="F247">
        <v>1.8815</v>
      </c>
      <c r="G247">
        <v>32691061</v>
      </c>
    </row>
    <row r="248" spans="1:7" x14ac:dyDescent="0.2">
      <c r="A248" s="1">
        <v>45398</v>
      </c>
      <c r="B248">
        <v>1.86</v>
      </c>
      <c r="C248">
        <v>1.8685</v>
      </c>
      <c r="D248">
        <v>1.8334999999999999</v>
      </c>
      <c r="E248">
        <v>1.8454999999999999</v>
      </c>
      <c r="F248">
        <v>1.8454999999999999</v>
      </c>
      <c r="G248">
        <v>13944864</v>
      </c>
    </row>
    <row r="249" spans="1:7" x14ac:dyDescent="0.2">
      <c r="A249" s="1">
        <v>45399</v>
      </c>
      <c r="B249">
        <v>1.8580000000000001</v>
      </c>
      <c r="C249">
        <v>1.885</v>
      </c>
      <c r="D249">
        <v>1.8440000000000001</v>
      </c>
      <c r="E249">
        <v>1.877</v>
      </c>
      <c r="F249">
        <v>1.877</v>
      </c>
      <c r="G249">
        <v>8818719</v>
      </c>
    </row>
    <row r="250" spans="1:7" x14ac:dyDescent="0.2">
      <c r="A250" s="1">
        <v>45400</v>
      </c>
      <c r="B250">
        <v>1.9015</v>
      </c>
      <c r="C250">
        <v>1.9810000000000001</v>
      </c>
      <c r="D250">
        <v>1.899</v>
      </c>
      <c r="E250">
        <v>1.9810000000000001</v>
      </c>
      <c r="F250">
        <v>1.9810000000000001</v>
      </c>
      <c r="G250">
        <v>17264447</v>
      </c>
    </row>
    <row r="251" spans="1:7" x14ac:dyDescent="0.2">
      <c r="A251" s="1">
        <v>45401</v>
      </c>
      <c r="B251">
        <v>1.91</v>
      </c>
      <c r="C251">
        <v>1.986</v>
      </c>
      <c r="D251">
        <v>1.8905000000000001</v>
      </c>
      <c r="E251">
        <v>1.968</v>
      </c>
      <c r="F251">
        <v>1.968</v>
      </c>
      <c r="G251">
        <v>16677781</v>
      </c>
    </row>
    <row r="252" spans="1:7" x14ac:dyDescent="0.2">
      <c r="A252" s="1">
        <v>45404</v>
      </c>
      <c r="B252">
        <v>2</v>
      </c>
      <c r="C252">
        <v>2.04</v>
      </c>
      <c r="D252">
        <v>1.9935</v>
      </c>
      <c r="E252">
        <v>2.0329999999999999</v>
      </c>
      <c r="F252">
        <v>2.0329999999999999</v>
      </c>
      <c r="G252">
        <v>17209863</v>
      </c>
    </row>
    <row r="253" spans="1:7" x14ac:dyDescent="0.2">
      <c r="A253" s="1">
        <v>45405</v>
      </c>
      <c r="B253">
        <v>2.0489999999999999</v>
      </c>
      <c r="C253">
        <v>2.0790000000000002</v>
      </c>
      <c r="D253">
        <v>2.044</v>
      </c>
      <c r="E253">
        <v>2.0499999999999998</v>
      </c>
      <c r="F253">
        <v>2.0499999999999998</v>
      </c>
      <c r="G253">
        <v>12570750</v>
      </c>
    </row>
    <row r="254" spans="1:7" x14ac:dyDescent="0.2">
      <c r="A254" s="1">
        <v>45406</v>
      </c>
      <c r="B254">
        <v>2.0659999999999998</v>
      </c>
      <c r="C254">
        <v>2.073</v>
      </c>
      <c r="D254">
        <v>2.0419999999999998</v>
      </c>
      <c r="E254">
        <v>2.06</v>
      </c>
      <c r="F254">
        <v>2.06</v>
      </c>
      <c r="G254">
        <v>27608978</v>
      </c>
    </row>
    <row r="255" spans="1:7" x14ac:dyDescent="0.2">
      <c r="A255" s="1">
        <v>45407</v>
      </c>
      <c r="B255">
        <v>2.0489999999999999</v>
      </c>
      <c r="C255">
        <v>2.0790000000000002</v>
      </c>
      <c r="D255">
        <v>2.028</v>
      </c>
      <c r="E255">
        <v>2.052</v>
      </c>
      <c r="F255">
        <v>2.052</v>
      </c>
      <c r="G255">
        <v>12143179</v>
      </c>
    </row>
    <row r="256" spans="1:7" x14ac:dyDescent="0.2">
      <c r="A256" s="1">
        <v>45408</v>
      </c>
      <c r="B256">
        <v>2.0699999999999998</v>
      </c>
      <c r="C256">
        <v>2.0819999999999999</v>
      </c>
      <c r="D256">
        <v>2.0550000000000002</v>
      </c>
      <c r="E256">
        <v>2.0550000000000002</v>
      </c>
      <c r="F256">
        <v>2.0550000000000002</v>
      </c>
      <c r="G256">
        <v>9379785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Datos acciones</vt:lpstr>
      <vt:lpstr>IBEX35</vt:lpstr>
      <vt:lpstr>SAN.MC</vt:lpstr>
      <vt:lpstr>TEF.MC</vt:lpstr>
      <vt:lpstr>ACS.MC</vt:lpstr>
      <vt:lpstr>IBE.MC</vt:lpstr>
      <vt:lpstr>IAG.MC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GASPAR ,MIGUEL</dc:creator>
  <cp:lastModifiedBy>Usuario de Microsoft Office</cp:lastModifiedBy>
  <dcterms:created xsi:type="dcterms:W3CDTF">2024-04-27T17:56:15Z</dcterms:created>
  <dcterms:modified xsi:type="dcterms:W3CDTF">2026-05-17T18:09:10Z</dcterms:modified>
</cp:coreProperties>
</file>