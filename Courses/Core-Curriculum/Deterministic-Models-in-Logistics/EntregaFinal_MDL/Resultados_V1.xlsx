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RTA\Mestrado\Asignaturas ahora\MDL\z3.final\"/>
    </mc:Choice>
  </mc:AlternateContent>
  <xr:revisionPtr revIDLastSave="0" documentId="13_ncr:1_{3E7E664E-61B8-491B-BA66-EB45AFF50B22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Resultados" sheetId="1" r:id="rId1"/>
    <sheet name="Resultados-Análi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2" i="2" l="1"/>
  <c r="P84" i="2"/>
  <c r="P85" i="2"/>
  <c r="P86" i="2"/>
  <c r="P87" i="2"/>
  <c r="P88" i="2"/>
  <c r="P89" i="2"/>
  <c r="P90" i="2"/>
  <c r="P91" i="2"/>
  <c r="P83" i="2"/>
  <c r="R48" i="2"/>
  <c r="U11" i="2" l="1"/>
  <c r="U5" i="2"/>
  <c r="U4" i="2"/>
  <c r="U3" i="2"/>
  <c r="U2" i="2"/>
  <c r="R47" i="2"/>
  <c r="R49" i="2"/>
  <c r="R50" i="2"/>
  <c r="U24" i="2"/>
  <c r="X24" i="2"/>
  <c r="W24" i="2"/>
  <c r="V24" i="2"/>
  <c r="T24" i="2"/>
  <c r="X23" i="2"/>
  <c r="W23" i="2"/>
  <c r="V23" i="2"/>
  <c r="U23" i="2"/>
  <c r="T77" i="2"/>
  <c r="T75" i="2"/>
  <c r="T74" i="2"/>
  <c r="T80" i="2"/>
  <c r="T79" i="2"/>
  <c r="T78" i="2"/>
  <c r="T76" i="2"/>
  <c r="T73" i="2"/>
  <c r="T72" i="2"/>
  <c r="T71" i="2"/>
  <c r="T70" i="2"/>
  <c r="T69" i="2"/>
  <c r="S80" i="2"/>
  <c r="S79" i="2"/>
  <c r="S78" i="2"/>
  <c r="S77" i="2"/>
  <c r="S76" i="2"/>
  <c r="S75" i="2"/>
  <c r="S74" i="2"/>
  <c r="S73" i="2"/>
  <c r="S72" i="2"/>
  <c r="S71" i="2"/>
  <c r="S70" i="2"/>
  <c r="S69" i="2"/>
  <c r="U13" i="2"/>
  <c r="U12" i="2"/>
  <c r="U10" i="2"/>
  <c r="U9" i="2"/>
  <c r="U8" i="2"/>
  <c r="U7" i="2"/>
  <c r="U6" i="2"/>
  <c r="T13" i="2"/>
  <c r="T12" i="2"/>
  <c r="T11" i="2"/>
  <c r="T10" i="2"/>
  <c r="T9" i="2"/>
  <c r="T8" i="2"/>
  <c r="T7" i="2"/>
  <c r="T6" i="2"/>
  <c r="T5" i="2"/>
  <c r="T4" i="2"/>
  <c r="T3" i="2"/>
  <c r="T2" i="2"/>
</calcChain>
</file>

<file path=xl/sharedStrings.xml><?xml version="1.0" encoding="utf-8"?>
<sst xmlns="http://schemas.openxmlformats.org/spreadsheetml/2006/main" count="389" uniqueCount="38">
  <si>
    <t>Variables Q: ENVÍOS</t>
  </si>
  <si>
    <t>Planta</t>
  </si>
  <si>
    <t>Comunidad</t>
  </si>
  <si>
    <t>Tipo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</si>
  <si>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</si>
  <si>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</si>
  <si>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</si>
  <si>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</si>
  <si>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</si>
  <si>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</si>
  <si>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</si>
  <si>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</si>
  <si>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</si>
  <si>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</si>
  <si>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</si>
  <si>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</si>
  <si>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Planta Sevilla</t>
  </si>
  <si>
    <t>Andalucía</t>
  </si>
  <si>
    <t>A1</t>
  </si>
  <si>
    <t>A2</t>
  </si>
  <si>
    <t>A3</t>
  </si>
  <si>
    <t>A4</t>
  </si>
  <si>
    <t>Aragón</t>
  </si>
  <si>
    <t>Cataluña</t>
  </si>
  <si>
    <t>Comunidad Valenciana</t>
  </si>
  <si>
    <t>Madrid</t>
  </si>
  <si>
    <t>Planta Valencia</t>
  </si>
  <si>
    <t>Variables Xest: PRODUCCIÓN ESTÁNDAR</t>
  </si>
  <si>
    <t>Variables Xext: PRODUCCIÓN EXTRA</t>
  </si>
  <si>
    <t>Variables Inv: INVENTARIOS</t>
  </si>
  <si>
    <t>Variables N: CAMIONES</t>
  </si>
  <si>
    <t>PROD ESTANDAR</t>
  </si>
  <si>
    <t>PROD EXTRA</t>
  </si>
  <si>
    <t>Sevilla</t>
  </si>
  <si>
    <t>Valencia</t>
  </si>
  <si>
    <t>Comunidad valenciana</t>
  </si>
  <si>
    <t>por tipo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</si>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</sst>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Producción total mensual ( Estándar</a:t>
            </a:r>
            <a:r>
              <a:rPr lang="pt-PT" baseline="0"/>
              <a:t> vs Extra)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Estándar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'Resultados-Análisis'!$S$2:$S$13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'Resultados-Análisis'!$T$2:$T$13</c:f>
              <c:numCache>
                <c:formatCode>General</c:formatCode>
                <c:ptCount val="12"/>
                <c:pt idx="0">
                  <c:v>5549.4166666666679</c:v>
                </c:pt>
                <c:pt idx="1">
                  <c:v>5549.4166666666679</c:v>
                </c:pt>
                <c:pt idx="2">
                  <c:v>5549.4166666666661</c:v>
                </c:pt>
                <c:pt idx="3">
                  <c:v>5549.4166666666679</c:v>
                </c:pt>
                <c:pt idx="4">
                  <c:v>5549.4166666666679</c:v>
                </c:pt>
                <c:pt idx="5">
                  <c:v>4665.9782004701319</c:v>
                </c:pt>
                <c:pt idx="6">
                  <c:v>5549.4166666666679</c:v>
                </c:pt>
                <c:pt idx="7">
                  <c:v>4583.9451328632003</c:v>
                </c:pt>
                <c:pt idx="8">
                  <c:v>5549.4166666666679</c:v>
                </c:pt>
                <c:pt idx="9">
                  <c:v>5549.4166666666642</c:v>
                </c:pt>
                <c:pt idx="10">
                  <c:v>5549.416666666667</c:v>
                </c:pt>
                <c:pt idx="11">
                  <c:v>3301.19495151515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F-461A-9594-801F59652F04}"/>
            </c:ext>
          </c:extLst>
        </c:ser>
        <c:ser>
          <c:idx val="1"/>
          <c:order val="1"/>
          <c:tx>
            <c:v>Extra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'Resultados-Análisis'!$S$2:$S$13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'Resultados-Análisis'!$U$2:$U$13</c:f>
              <c:numCache>
                <c:formatCode>General</c:formatCode>
                <c:ptCount val="12"/>
                <c:pt idx="0">
                  <c:v>1109.8833333333334</c:v>
                </c:pt>
                <c:pt idx="1">
                  <c:v>1109.8833333333334</c:v>
                </c:pt>
                <c:pt idx="2">
                  <c:v>1109.8833333333334</c:v>
                </c:pt>
                <c:pt idx="3">
                  <c:v>490.53469090908931</c:v>
                </c:pt>
                <c:pt idx="4">
                  <c:v>1109.8833333333334</c:v>
                </c:pt>
                <c:pt idx="5">
                  <c:v>419.76666666666671</c:v>
                </c:pt>
                <c:pt idx="6">
                  <c:v>419.76666666666671</c:v>
                </c:pt>
                <c:pt idx="7">
                  <c:v>419.76666666666671</c:v>
                </c:pt>
                <c:pt idx="8">
                  <c:v>419.76666666666671</c:v>
                </c:pt>
                <c:pt idx="9">
                  <c:v>419.76666666666671</c:v>
                </c:pt>
                <c:pt idx="10">
                  <c:v>419.76666666666671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4F-461A-9594-801F59652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5978144"/>
        <c:axId val="1695973824"/>
      </c:barChart>
      <c:catAx>
        <c:axId val="169597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5973824"/>
        <c:crosses val="autoZero"/>
        <c:auto val="1"/>
        <c:lblAlgn val="ctr"/>
        <c:lblOffset val="100"/>
        <c:noMultiLvlLbl val="0"/>
      </c:catAx>
      <c:valAx>
        <c:axId val="16959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Toneladas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597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600" b="0"/>
              <a:t>Niveles de Inventario por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Sevilla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'Resultados-Análisis'!$R$69:$R$80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'Resultados-Análisis'!$S$69:$S$80</c:f>
              <c:numCache>
                <c:formatCode>General</c:formatCode>
                <c:ptCount val="12"/>
                <c:pt idx="0">
                  <c:v>476.42136363636439</c:v>
                </c:pt>
                <c:pt idx="1">
                  <c:v>469.35157260323672</c:v>
                </c:pt>
                <c:pt idx="2">
                  <c:v>1059.47500606061</c:v>
                </c:pt>
                <c:pt idx="3">
                  <c:v>1097.4794848484846</c:v>
                </c:pt>
                <c:pt idx="4">
                  <c:v>1725.291666666667</c:v>
                </c:pt>
                <c:pt idx="5">
                  <c:v>1327.3888065307378</c:v>
                </c:pt>
                <c:pt idx="6">
                  <c:v>1725.2916666666667</c:v>
                </c:pt>
                <c:pt idx="7">
                  <c:v>1286.2474180259683</c:v>
                </c:pt>
                <c:pt idx="8">
                  <c:v>1725.291666666667</c:v>
                </c:pt>
                <c:pt idx="9">
                  <c:v>1580.297272727274</c:v>
                </c:pt>
                <c:pt idx="10">
                  <c:v>1602.2233818181833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B9-4880-9436-A3D3755C5F3F}"/>
            </c:ext>
          </c:extLst>
        </c:ser>
        <c:ser>
          <c:idx val="1"/>
          <c:order val="1"/>
          <c:tx>
            <c:v>Valencia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'Resultados-Análisis'!$R$69:$R$80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'Resultados-Análisis'!$T$69:$T$80</c:f>
              <c:numCache>
                <c:formatCode>General</c:formatCode>
                <c:ptCount val="12"/>
                <c:pt idx="0">
                  <c:v>13.838799999999649</c:v>
                </c:pt>
                <c:pt idx="1">
                  <c:v>887.30016679070343</c:v>
                </c:pt>
                <c:pt idx="2">
                  <c:v>979.44026666666412</c:v>
                </c:pt>
                <c:pt idx="3">
                  <c:v>1049.4166666666667</c:v>
                </c:pt>
                <c:pt idx="4">
                  <c:v>1049.4166666666667</c:v>
                </c:pt>
                <c:pt idx="5">
                  <c:v>922.98680000000024</c:v>
                </c:pt>
                <c:pt idx="6">
                  <c:v>1047.7609459246776</c:v>
                </c:pt>
                <c:pt idx="7">
                  <c:v>1037.0977213679707</c:v>
                </c:pt>
                <c:pt idx="8">
                  <c:v>1049.416666666667</c:v>
                </c:pt>
                <c:pt idx="9">
                  <c:v>998.36419999999976</c:v>
                </c:pt>
                <c:pt idx="10">
                  <c:v>652.16826666666645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9-4880-9436-A3D3755C5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934464"/>
        <c:axId val="1695939744"/>
      </c:lineChart>
      <c:catAx>
        <c:axId val="169593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5939744"/>
        <c:crosses val="autoZero"/>
        <c:auto val="1"/>
        <c:lblAlgn val="ctr"/>
        <c:lblOffset val="100"/>
        <c:noMultiLvlLbl val="0"/>
      </c:catAx>
      <c:valAx>
        <c:axId val="16959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Toneladas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9593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Total anual producido por tipo de arroz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4C-45E9-A86A-D3444FB02FE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4C-45E9-A86A-D3444FB02FE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4C-45E9-A86A-D3444FB02FED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4C-45E9-A86A-D3444FB02FE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'Resultados-Análisis'!$R$47:$R$50</c:f>
              <c:numCache>
                <c:formatCode>General</c:formatCode>
                <c:ptCount val="4"/>
                <c:pt idx="0">
                  <c:v>39170.155000000035</c:v>
                </c:pt>
                <c:pt idx="1">
                  <c:v>5484.21</c:v>
                </c:pt>
                <c:pt idx="2">
                  <c:v>10426.831309090911</c:v>
                </c:pt>
                <c:pt idx="3">
                  <c:v>14863.34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6-4E26-82DD-4093F62DAD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Número</a:t>
            </a:r>
            <a:r>
              <a:rPr lang="pt-PT" baseline="0"/>
              <a:t> camiones anuales</a:t>
            </a:r>
            <a:endParaRPr lang="pt-PT"/>
          </a:p>
        </c:rich>
      </c:tx>
      <c:layout>
        <c:manualLayout>
          <c:xMode val="edge"/>
          <c:yMode val="edge"/>
          <c:x val="0.28793479809687694"/>
          <c:y val="3.2060592968009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'Resultados-Análisis'!$R$85</c:f>
              <c:strCache>
                <c:ptCount val="1"/>
                <c:pt idx="0">
                  <c:v>Sevilla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'Resultados-Análisis'!$Q$86:$Q$90</c:f>
              <c:strCache>
                <c:ptCount val="5"/>
                <c:pt idx="0">
                  <c:v>Andalucía</c:v>
                </c:pt>
                <c:pt idx="1">
                  <c:v>Aragón</c:v>
                </c:pt>
                <c:pt idx="2">
                  <c:v>Cataluña</c:v>
                </c:pt>
                <c:pt idx="3">
                  <c:v>Comunidad Valenciana</c:v>
                </c:pt>
                <c:pt idx="4">
                  <c:v>Madrid</c:v>
                </c:pt>
              </c:strCache>
            </c:strRef>
          </c:cat>
          <c:val>
            <c:numRef>
              <c:f>'Resultados-Análisis'!$R$86:$R$90</c:f>
              <c:numCache>
                <c:formatCode>General</c:formatCode>
                <c:ptCount val="5"/>
                <c:pt idx="0">
                  <c:v>756</c:v>
                </c:pt>
                <c:pt idx="1">
                  <c:v>191</c:v>
                </c:pt>
                <c:pt idx="2">
                  <c:v>0</c:v>
                </c:pt>
                <c:pt idx="3">
                  <c:v>105</c:v>
                </c:pt>
                <c:pt idx="4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4-4A0C-851E-14BC12CBB318}"/>
            </c:ext>
          </c:extLst>
        </c:ser>
        <c:ser>
          <c:idx val="1"/>
          <c:order val="1"/>
          <c:tx>
            <c:strRef>
              <c:f>'Resultados-Análisis'!$S$85</c:f>
              <c:strCache>
                <c:ptCount val="1"/>
                <c:pt idx="0">
                  <c:v>Valencia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'Resultados-Análisis'!$Q$86:$Q$90</c:f>
              <c:strCache>
                <c:ptCount val="5"/>
                <c:pt idx="0">
                  <c:v>Andalucía</c:v>
                </c:pt>
                <c:pt idx="1">
                  <c:v>Aragón</c:v>
                </c:pt>
                <c:pt idx="2">
                  <c:v>Cataluña</c:v>
                </c:pt>
                <c:pt idx="3">
                  <c:v>Comunidad Valenciana</c:v>
                </c:pt>
                <c:pt idx="4">
                  <c:v>Madrid</c:v>
                </c:pt>
              </c:strCache>
            </c:strRef>
          </c:cat>
          <c:val>
            <c:numRef>
              <c:f>'Resultados-Análisis'!$S$86:$S$90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703</c:v>
                </c:pt>
                <c:pt idx="3">
                  <c:v>474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4-4A0C-851E-14BC12CBB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858719"/>
        <c:axId val="559857279"/>
      </c:barChart>
      <c:catAx>
        <c:axId val="55985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857279"/>
        <c:crosses val="autoZero"/>
        <c:auto val="1"/>
        <c:lblAlgn val="ctr"/>
        <c:lblOffset val="100"/>
        <c:noMultiLvlLbl val="0"/>
      </c:catAx>
      <c:valAx>
        <c:axId val="5598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85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580672</xdr:colOff>
      <xdr:row>0</xdr:row>
      <xdr:rowOff>0</xdr:rowOff>
    </xdr:from>
    <xdr:to>
      <xdr:col>30</xdr:col>
      <xdr:colOff>323271</xdr:colOff>
      <xdr:row>17</xdr:row>
      <xdr:rowOff>34636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821B6E1-567A-CBF4-B3C6-675F8C834D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447841</xdr:colOff>
      <xdr:row>66</xdr:row>
      <xdr:rowOff>18716</xdr:rowOff>
    </xdr:from>
    <xdr:to>
      <xdr:col>27</xdr:col>
      <xdr:colOff>408214</xdr:colOff>
      <xdr:row>83</xdr:row>
      <xdr:rowOff>145143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347E51-432D-CF80-D1CE-00DF35817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1031875</xdr:colOff>
      <xdr:row>40</xdr:row>
      <xdr:rowOff>144462</xdr:rowOff>
    </xdr:from>
    <xdr:to>
      <xdr:col>23</xdr:col>
      <xdr:colOff>252132</xdr:colOff>
      <xdr:row>56</xdr:row>
      <xdr:rowOff>50426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06CBB2D-08AB-E35F-C4D0-2DEDEDFCC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593767</xdr:colOff>
      <xdr:row>87</xdr:row>
      <xdr:rowOff>73231</xdr:rowOff>
    </xdr:from>
    <xdr:to>
      <xdr:col>24</xdr:col>
      <xdr:colOff>336468</xdr:colOff>
      <xdr:row>102</xdr:row>
      <xdr:rowOff>144483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EFF5C5-7090-CFFD-55FD-816F27B63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zoomScale="41" workbookViewId="0">
      <selection activeCell="G101" sqref="G101"/>
    </sheetView>
  </sheetViews>
  <sheetFormatPr defaultRowHeight="14.4" x14ac:dyDescent="0.3"/>
  <sheetData>
    <row r="1" spans="1:15" x14ac:dyDescent="0.3">
      <c r="A1" t="s">
        <v>0</v>
      </c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3" t="s">
        <v>16</v>
      </c>
      <c r="B3" s="3" t="s">
        <v>17</v>
      </c>
      <c r="C3" s="1" t="s">
        <v>18</v>
      </c>
      <c r="D3">
        <v>776.16500000000008</v>
      </c>
      <c r="E3">
        <v>751.06000000000006</v>
      </c>
      <c r="F3">
        <v>819.57999999999993</v>
      </c>
      <c r="G3">
        <v>836.02500000000009</v>
      </c>
      <c r="H3">
        <v>702.995</v>
      </c>
      <c r="I3">
        <v>699.21499999999992</v>
      </c>
      <c r="J3">
        <v>674.51</v>
      </c>
      <c r="K3">
        <v>681.6</v>
      </c>
      <c r="L3">
        <v>641.29999999999995</v>
      </c>
      <c r="M3">
        <v>905.67</v>
      </c>
      <c r="N3">
        <v>691.59500000000003</v>
      </c>
      <c r="O3">
        <v>632.96</v>
      </c>
    </row>
    <row r="4" spans="1:15" x14ac:dyDescent="0.3">
      <c r="A4" s="3"/>
      <c r="B4" s="3"/>
      <c r="C4" s="1" t="s">
        <v>19</v>
      </c>
      <c r="D4">
        <v>270.38</v>
      </c>
      <c r="E4">
        <v>215.54</v>
      </c>
      <c r="F4">
        <v>246.84</v>
      </c>
      <c r="G4">
        <v>226.47</v>
      </c>
      <c r="H4">
        <v>228.39</v>
      </c>
      <c r="I4">
        <v>218.57</v>
      </c>
      <c r="J4">
        <v>250.21</v>
      </c>
      <c r="K4">
        <v>227.22</v>
      </c>
      <c r="L4">
        <v>193.97</v>
      </c>
      <c r="M4">
        <v>171.26</v>
      </c>
      <c r="N4">
        <v>214.56</v>
      </c>
      <c r="O4">
        <v>170.64</v>
      </c>
    </row>
    <row r="5" spans="1:15" x14ac:dyDescent="0.3">
      <c r="A5" s="3"/>
      <c r="B5" s="3"/>
      <c r="C5" s="1" t="s">
        <v>20</v>
      </c>
      <c r="D5">
        <v>273.58363636363629</v>
      </c>
      <c r="E5">
        <v>255.28909090909079</v>
      </c>
      <c r="F5">
        <v>258.79000000000002</v>
      </c>
      <c r="G5">
        <v>280.52454545454538</v>
      </c>
      <c r="H5">
        <v>260.74181818181819</v>
      </c>
      <c r="I5">
        <v>265.11272727272723</v>
      </c>
      <c r="J5">
        <v>257.85272727272718</v>
      </c>
      <c r="K5">
        <v>235.49727272727279</v>
      </c>
      <c r="L5">
        <v>261.3372727272727</v>
      </c>
      <c r="M5">
        <v>268.06272727272727</v>
      </c>
      <c r="N5">
        <v>277.75909090909079</v>
      </c>
      <c r="O5">
        <v>248.75</v>
      </c>
    </row>
    <row r="6" spans="1:15" x14ac:dyDescent="0.3">
      <c r="A6" s="3"/>
      <c r="B6" s="3"/>
      <c r="C6" s="1" t="s">
        <v>21</v>
      </c>
      <c r="D6">
        <v>395.91</v>
      </c>
      <c r="E6">
        <v>302.14</v>
      </c>
      <c r="F6">
        <v>303.49</v>
      </c>
      <c r="G6">
        <v>371.2</v>
      </c>
      <c r="H6">
        <v>304.26</v>
      </c>
      <c r="I6">
        <v>345.08</v>
      </c>
      <c r="J6">
        <v>376.07</v>
      </c>
      <c r="K6">
        <v>300.85000000000002</v>
      </c>
      <c r="L6">
        <v>317.32</v>
      </c>
      <c r="M6">
        <v>452.24</v>
      </c>
      <c r="N6">
        <v>347.38</v>
      </c>
      <c r="O6">
        <v>354.34</v>
      </c>
    </row>
    <row r="7" spans="1:15" x14ac:dyDescent="0.3">
      <c r="A7" s="3"/>
      <c r="B7" s="3" t="s">
        <v>22</v>
      </c>
      <c r="C7" s="1" t="s">
        <v>18</v>
      </c>
      <c r="D7">
        <v>129.32499999999999</v>
      </c>
      <c r="E7">
        <v>80.224000000001823</v>
      </c>
      <c r="F7">
        <v>122.8352000000019</v>
      </c>
      <c r="G7">
        <v>137.72499999999999</v>
      </c>
      <c r="H7">
        <v>109.97499999999999</v>
      </c>
      <c r="I7">
        <v>0</v>
      </c>
      <c r="J7">
        <v>64.527479258010715</v>
      </c>
      <c r="K7">
        <v>97.77000000000001</v>
      </c>
      <c r="L7">
        <v>102</v>
      </c>
      <c r="M7">
        <v>94.279200000000841</v>
      </c>
      <c r="N7">
        <v>99.517600000003398</v>
      </c>
      <c r="O7">
        <v>0</v>
      </c>
    </row>
    <row r="8" spans="1:15" x14ac:dyDescent="0.3">
      <c r="A8" s="3"/>
      <c r="B8" s="3"/>
      <c r="C8" s="1" t="s">
        <v>19</v>
      </c>
      <c r="D8">
        <v>16.47</v>
      </c>
      <c r="E8">
        <v>31.6</v>
      </c>
      <c r="F8">
        <v>6.4</v>
      </c>
      <c r="G8">
        <v>13.07</v>
      </c>
      <c r="H8">
        <v>10.17</v>
      </c>
      <c r="I8">
        <v>0</v>
      </c>
      <c r="J8">
        <v>7.23</v>
      </c>
      <c r="K8">
        <v>3.8057340150479599</v>
      </c>
      <c r="L8">
        <v>21.9</v>
      </c>
      <c r="M8">
        <v>9.8800000000000008</v>
      </c>
      <c r="N8">
        <v>0</v>
      </c>
      <c r="O8">
        <v>0</v>
      </c>
    </row>
    <row r="9" spans="1:15" x14ac:dyDescent="0.3">
      <c r="A9" s="3"/>
      <c r="B9" s="3"/>
      <c r="C9" s="1" t="s">
        <v>20</v>
      </c>
      <c r="D9">
        <v>280.02499999999918</v>
      </c>
      <c r="E9">
        <v>270.52600000000001</v>
      </c>
      <c r="F9">
        <v>285.96480000000003</v>
      </c>
      <c r="G9">
        <v>271.0350000000002</v>
      </c>
      <c r="H9">
        <v>275.48500000000251</v>
      </c>
      <c r="I9">
        <v>200</v>
      </c>
      <c r="J9">
        <v>262.31360000000001</v>
      </c>
      <c r="K9">
        <v>250.75304142824501</v>
      </c>
      <c r="L9">
        <v>240.17014529869579</v>
      </c>
      <c r="M9">
        <v>285.4708</v>
      </c>
      <c r="N9">
        <v>299.06240000000003</v>
      </c>
      <c r="O9">
        <v>255.01</v>
      </c>
    </row>
    <row r="10" spans="1:15" x14ac:dyDescent="0.3">
      <c r="A10" s="3"/>
      <c r="B10" s="3"/>
      <c r="C10" s="1" t="s">
        <v>21</v>
      </c>
      <c r="D10">
        <v>49.18</v>
      </c>
      <c r="E10">
        <v>17.649999999999999</v>
      </c>
      <c r="F10">
        <v>34.799999999999997</v>
      </c>
      <c r="G10">
        <v>28.17</v>
      </c>
      <c r="H10">
        <v>54.37</v>
      </c>
      <c r="I10">
        <v>0</v>
      </c>
      <c r="J10">
        <v>0</v>
      </c>
      <c r="K10">
        <v>52.03</v>
      </c>
      <c r="L10">
        <v>34.049999999999997</v>
      </c>
      <c r="M10">
        <v>35.369999999999997</v>
      </c>
      <c r="N10">
        <v>51.42</v>
      </c>
      <c r="O10">
        <v>44.99</v>
      </c>
    </row>
    <row r="11" spans="1:15" x14ac:dyDescent="0.3">
      <c r="A11" s="3"/>
      <c r="B11" s="3" t="s">
        <v>23</v>
      </c>
      <c r="C11" s="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3"/>
      <c r="B12" s="3"/>
      <c r="C12" s="1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3"/>
      <c r="B13" s="3"/>
      <c r="C13" s="1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3"/>
      <c r="B14" s="3"/>
      <c r="C14" s="1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3"/>
      <c r="B15" s="3" t="s">
        <v>24</v>
      </c>
      <c r="C15" s="1" t="s">
        <v>18</v>
      </c>
      <c r="D15">
        <v>34.020000000000103</v>
      </c>
      <c r="E15">
        <v>862.83500000000004</v>
      </c>
      <c r="F15">
        <v>95.156566542626592</v>
      </c>
      <c r="G15">
        <v>52.007333333335509</v>
      </c>
      <c r="H15">
        <v>2.099999999995816E-2</v>
      </c>
      <c r="I15">
        <v>0</v>
      </c>
      <c r="J15">
        <v>0</v>
      </c>
      <c r="K15">
        <v>0</v>
      </c>
      <c r="L15">
        <v>0</v>
      </c>
      <c r="M15">
        <v>168.26999999999839</v>
      </c>
      <c r="N15">
        <v>72.649799999995707</v>
      </c>
      <c r="O15">
        <v>0</v>
      </c>
    </row>
    <row r="16" spans="1:15" x14ac:dyDescent="0.3">
      <c r="A16" s="3"/>
      <c r="B16" s="3"/>
      <c r="C16" s="1" t="s">
        <v>19</v>
      </c>
      <c r="D16">
        <v>31.08</v>
      </c>
      <c r="E16">
        <v>45</v>
      </c>
      <c r="F16">
        <v>0</v>
      </c>
      <c r="G16">
        <v>42.12</v>
      </c>
      <c r="H16">
        <v>40.4</v>
      </c>
      <c r="I16">
        <v>0</v>
      </c>
      <c r="J16">
        <v>0</v>
      </c>
      <c r="K16">
        <v>0</v>
      </c>
      <c r="L16">
        <v>0</v>
      </c>
      <c r="M16">
        <v>56.73</v>
      </c>
      <c r="N16">
        <v>0</v>
      </c>
      <c r="O16">
        <v>0</v>
      </c>
    </row>
    <row r="17" spans="1:15" x14ac:dyDescent="0.3">
      <c r="A17" s="3"/>
      <c r="B17" s="3"/>
      <c r="C17" s="1" t="s">
        <v>20</v>
      </c>
      <c r="D17">
        <v>0</v>
      </c>
      <c r="E17">
        <v>0</v>
      </c>
      <c r="F17">
        <v>82.19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99.713333333333324</v>
      </c>
      <c r="O17">
        <v>50</v>
      </c>
    </row>
    <row r="18" spans="1:15" x14ac:dyDescent="0.3">
      <c r="A18" s="3"/>
      <c r="B18" s="3"/>
      <c r="C18" s="1" t="s">
        <v>21</v>
      </c>
      <c r="D18">
        <v>209.9</v>
      </c>
      <c r="E18">
        <v>102.2040334573685</v>
      </c>
      <c r="F18">
        <v>194.53</v>
      </c>
      <c r="G18">
        <v>0</v>
      </c>
      <c r="H18">
        <v>351.08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3"/>
      <c r="B19" s="3" t="s">
        <v>25</v>
      </c>
      <c r="C19" s="1" t="s">
        <v>18</v>
      </c>
      <c r="D19">
        <v>723.18000000000006</v>
      </c>
      <c r="E19">
        <v>749.55500000000006</v>
      </c>
      <c r="F19">
        <v>706.60666666666532</v>
      </c>
      <c r="G19">
        <v>794.47500000000002</v>
      </c>
      <c r="H19">
        <v>753.56666666666672</v>
      </c>
      <c r="I19">
        <v>757.62</v>
      </c>
      <c r="J19">
        <v>702.09</v>
      </c>
      <c r="K19">
        <v>658.73</v>
      </c>
      <c r="L19">
        <v>732.88499999999999</v>
      </c>
      <c r="M19">
        <v>663.96500000000003</v>
      </c>
      <c r="N19">
        <v>757.61333333333403</v>
      </c>
      <c r="O19">
        <v>658.81166666666661</v>
      </c>
    </row>
    <row r="20" spans="1:15" x14ac:dyDescent="0.3">
      <c r="A20" s="3"/>
      <c r="B20" s="3"/>
      <c r="C20" s="1" t="s">
        <v>19</v>
      </c>
      <c r="D20">
        <v>105.94</v>
      </c>
      <c r="E20">
        <v>143.49</v>
      </c>
      <c r="F20">
        <v>84.34</v>
      </c>
      <c r="G20">
        <v>119.68</v>
      </c>
      <c r="H20">
        <v>83.05</v>
      </c>
      <c r="I20">
        <v>109.1</v>
      </c>
      <c r="J20">
        <v>109.71</v>
      </c>
      <c r="K20">
        <v>90.1</v>
      </c>
      <c r="L20">
        <v>125.96</v>
      </c>
      <c r="M20">
        <v>119.1</v>
      </c>
      <c r="N20">
        <v>114.97</v>
      </c>
      <c r="O20">
        <v>75.150000000000006</v>
      </c>
    </row>
    <row r="21" spans="1:15" x14ac:dyDescent="0.3">
      <c r="A21" s="3"/>
      <c r="B21" s="3"/>
      <c r="C21" s="1" t="s">
        <v>20</v>
      </c>
      <c r="D21">
        <v>118.75</v>
      </c>
      <c r="E21">
        <v>92.936666666666667</v>
      </c>
      <c r="F21">
        <v>132.1633333333333</v>
      </c>
      <c r="G21">
        <v>115.11</v>
      </c>
      <c r="H21">
        <v>105.0333333333333</v>
      </c>
      <c r="I21">
        <v>118.08</v>
      </c>
      <c r="J21">
        <v>91.006666666666675</v>
      </c>
      <c r="K21">
        <v>91.38</v>
      </c>
      <c r="L21">
        <v>107.4466666666667</v>
      </c>
      <c r="M21">
        <v>117.3</v>
      </c>
      <c r="N21">
        <v>100.98666666666669</v>
      </c>
      <c r="O21">
        <v>92.483333333333334</v>
      </c>
    </row>
    <row r="22" spans="1:15" x14ac:dyDescent="0.3">
      <c r="A22" s="3"/>
      <c r="B22" s="3"/>
      <c r="C22" s="1" t="s">
        <v>21</v>
      </c>
      <c r="D22">
        <v>250.37</v>
      </c>
      <c r="E22">
        <v>227.72</v>
      </c>
      <c r="F22">
        <v>176.89</v>
      </c>
      <c r="G22">
        <v>195.7349999999999</v>
      </c>
      <c r="H22">
        <v>233.35</v>
      </c>
      <c r="I22">
        <v>252.27</v>
      </c>
      <c r="J22">
        <v>257.16000000000003</v>
      </c>
      <c r="K22">
        <v>234.42</v>
      </c>
      <c r="L22">
        <v>233.2</v>
      </c>
      <c r="M22">
        <v>247.98</v>
      </c>
      <c r="N22">
        <v>301.43</v>
      </c>
      <c r="O22">
        <v>221.45</v>
      </c>
    </row>
    <row r="23" spans="1:15" x14ac:dyDescent="0.3">
      <c r="A23" s="3" t="s">
        <v>26</v>
      </c>
      <c r="B23" s="3" t="s">
        <v>17</v>
      </c>
      <c r="C23" s="1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3"/>
      <c r="B24" s="3"/>
      <c r="C24" s="1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3"/>
      <c r="B25" s="3"/>
      <c r="C25" s="1" t="s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3"/>
      <c r="B26" s="3"/>
      <c r="C26" s="1" t="s">
        <v>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3"/>
      <c r="B27" s="3" t="s">
        <v>22</v>
      </c>
      <c r="C27" s="1" t="s">
        <v>18</v>
      </c>
      <c r="D27">
        <v>0</v>
      </c>
      <c r="E27">
        <v>6.5109999999981767</v>
      </c>
      <c r="F27">
        <v>3.1097999999980739</v>
      </c>
      <c r="G27">
        <v>0</v>
      </c>
      <c r="H27">
        <v>0</v>
      </c>
      <c r="I27">
        <v>131.36000000000001</v>
      </c>
      <c r="J27">
        <v>35.662520741989283</v>
      </c>
      <c r="K27">
        <v>0</v>
      </c>
      <c r="L27">
        <v>0</v>
      </c>
      <c r="M27">
        <v>3.9357999999991482</v>
      </c>
      <c r="N27">
        <v>9.462399999996606</v>
      </c>
      <c r="O27">
        <v>121.495</v>
      </c>
    </row>
    <row r="28" spans="1:15" x14ac:dyDescent="0.3">
      <c r="A28" s="3"/>
      <c r="B28" s="3"/>
      <c r="C28" s="1" t="s">
        <v>19</v>
      </c>
      <c r="D28">
        <v>0</v>
      </c>
      <c r="E28">
        <v>0</v>
      </c>
      <c r="F28">
        <v>0</v>
      </c>
      <c r="G28">
        <v>0</v>
      </c>
      <c r="H28">
        <v>0</v>
      </c>
      <c r="I28">
        <v>33.82</v>
      </c>
      <c r="J28">
        <v>0</v>
      </c>
      <c r="K28">
        <v>5.8842659849520391</v>
      </c>
      <c r="L28">
        <v>0</v>
      </c>
      <c r="M28">
        <v>0</v>
      </c>
      <c r="N28">
        <v>8.76</v>
      </c>
      <c r="O28">
        <v>11.2</v>
      </c>
    </row>
    <row r="29" spans="1:15" x14ac:dyDescent="0.3">
      <c r="A29" s="3"/>
      <c r="B29" s="3"/>
      <c r="C29" s="1" t="s">
        <v>20</v>
      </c>
      <c r="D29">
        <v>3.7962000000007379</v>
      </c>
      <c r="E29">
        <v>0</v>
      </c>
      <c r="F29">
        <v>0</v>
      </c>
      <c r="G29">
        <v>13.59259999999983</v>
      </c>
      <c r="H29">
        <v>9.4209999999974912</v>
      </c>
      <c r="I29">
        <v>67.443200000000047</v>
      </c>
      <c r="J29">
        <v>0</v>
      </c>
      <c r="K29">
        <v>2.6189585717550039</v>
      </c>
      <c r="L29">
        <v>19.40105470130419</v>
      </c>
      <c r="M29">
        <v>0</v>
      </c>
      <c r="N29">
        <v>0</v>
      </c>
      <c r="O29">
        <v>2.981600000000014</v>
      </c>
    </row>
    <row r="30" spans="1:15" x14ac:dyDescent="0.3">
      <c r="A30" s="3"/>
      <c r="B30" s="3"/>
      <c r="C30" s="1" t="s">
        <v>21</v>
      </c>
      <c r="D30">
        <v>0</v>
      </c>
      <c r="E30">
        <v>0</v>
      </c>
      <c r="F30">
        <v>0</v>
      </c>
      <c r="G30">
        <v>0</v>
      </c>
      <c r="H30">
        <v>0</v>
      </c>
      <c r="I30">
        <v>45</v>
      </c>
      <c r="J30">
        <v>36.979999999999997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3"/>
      <c r="B31" s="3" t="s">
        <v>23</v>
      </c>
      <c r="C31" s="1" t="s">
        <v>18</v>
      </c>
      <c r="D31">
        <v>948.65499999999997</v>
      </c>
      <c r="E31">
        <v>846.495</v>
      </c>
      <c r="F31">
        <v>967.46500000000003</v>
      </c>
      <c r="G31">
        <v>843.56499999999994</v>
      </c>
      <c r="H31">
        <v>901.41499999999996</v>
      </c>
      <c r="I31">
        <v>764.04</v>
      </c>
      <c r="J31">
        <v>712.76499999999999</v>
      </c>
      <c r="K31">
        <v>722.65</v>
      </c>
      <c r="L31">
        <v>874.32500000000005</v>
      </c>
      <c r="M31">
        <v>965.81</v>
      </c>
      <c r="N31">
        <v>852.03</v>
      </c>
      <c r="O31">
        <v>909.66</v>
      </c>
    </row>
    <row r="32" spans="1:15" x14ac:dyDescent="0.3">
      <c r="A32" s="3"/>
      <c r="B32" s="3"/>
      <c r="C32" s="1" t="s">
        <v>19</v>
      </c>
      <c r="D32">
        <v>75.099999999999994</v>
      </c>
      <c r="E32">
        <v>77.8</v>
      </c>
      <c r="F32">
        <v>87.79</v>
      </c>
      <c r="G32">
        <v>74.290000000000006</v>
      </c>
      <c r="H32">
        <v>49.18</v>
      </c>
      <c r="I32">
        <v>67.44</v>
      </c>
      <c r="J32">
        <v>68.510000000000005</v>
      </c>
      <c r="K32">
        <v>120.36</v>
      </c>
      <c r="L32">
        <v>61.5</v>
      </c>
      <c r="M32">
        <v>59.15</v>
      </c>
      <c r="N32">
        <v>82.38</v>
      </c>
      <c r="O32">
        <v>69.849999999999994</v>
      </c>
    </row>
    <row r="33" spans="1:15" x14ac:dyDescent="0.3">
      <c r="A33" s="3"/>
      <c r="B33" s="3"/>
      <c r="C33" s="1" t="s">
        <v>20</v>
      </c>
      <c r="D33">
        <v>142.89333333333329</v>
      </c>
      <c r="E33">
        <v>163.04666666666671</v>
      </c>
      <c r="F33">
        <v>156.6933333333333</v>
      </c>
      <c r="G33">
        <v>141.98666666666671</v>
      </c>
      <c r="H33">
        <v>143.5333333333333</v>
      </c>
      <c r="I33">
        <v>140.58333333333329</v>
      </c>
      <c r="J33">
        <v>138.85</v>
      </c>
      <c r="K33">
        <v>144.7833333333333</v>
      </c>
      <c r="L33">
        <v>121.59</v>
      </c>
      <c r="M33">
        <v>160.63999999999999</v>
      </c>
      <c r="N33">
        <v>153.54666666666671</v>
      </c>
      <c r="O33">
        <v>126.70666666666671</v>
      </c>
    </row>
    <row r="34" spans="1:15" x14ac:dyDescent="0.3">
      <c r="A34" s="3"/>
      <c r="B34" s="3"/>
      <c r="C34" s="1" t="s">
        <v>21</v>
      </c>
      <c r="D34">
        <v>465.83</v>
      </c>
      <c r="E34">
        <v>407.7</v>
      </c>
      <c r="F34">
        <v>344.51</v>
      </c>
      <c r="G34">
        <v>374.29</v>
      </c>
      <c r="H34">
        <v>402.58</v>
      </c>
      <c r="I34">
        <v>327.05</v>
      </c>
      <c r="J34">
        <v>307.33</v>
      </c>
      <c r="K34">
        <v>422.22</v>
      </c>
      <c r="L34">
        <v>304.38</v>
      </c>
      <c r="M34">
        <v>451.8</v>
      </c>
      <c r="N34">
        <v>407.09</v>
      </c>
      <c r="O34">
        <v>282.23</v>
      </c>
    </row>
    <row r="35" spans="1:15" x14ac:dyDescent="0.3">
      <c r="A35" s="3"/>
      <c r="B35" s="3" t="s">
        <v>24</v>
      </c>
      <c r="C35" s="1" t="s">
        <v>18</v>
      </c>
      <c r="D35">
        <v>771.9899999999999</v>
      </c>
      <c r="E35">
        <v>0</v>
      </c>
      <c r="F35">
        <v>812.39843345737347</v>
      </c>
      <c r="G35">
        <v>724.05766666666443</v>
      </c>
      <c r="H35">
        <v>924.48900000000003</v>
      </c>
      <c r="I35">
        <v>786.31</v>
      </c>
      <c r="J35">
        <v>737.44500000000005</v>
      </c>
      <c r="K35">
        <v>784.01</v>
      </c>
      <c r="L35">
        <v>745.57500000000005</v>
      </c>
      <c r="M35">
        <v>623.45000000000005</v>
      </c>
      <c r="N35">
        <v>910.13520000000426</v>
      </c>
      <c r="O35">
        <v>851.67500000000007</v>
      </c>
    </row>
    <row r="36" spans="1:15" x14ac:dyDescent="0.3">
      <c r="A36" s="3"/>
      <c r="B36" s="3"/>
      <c r="C36" s="1" t="s">
        <v>19</v>
      </c>
      <c r="D36">
        <v>0</v>
      </c>
      <c r="E36">
        <v>0</v>
      </c>
      <c r="F36">
        <v>50.38</v>
      </c>
      <c r="G36">
        <v>0</v>
      </c>
      <c r="H36">
        <v>0</v>
      </c>
      <c r="I36">
        <v>23.12</v>
      </c>
      <c r="J36">
        <v>28.5</v>
      </c>
      <c r="K36">
        <v>34.520000000000003</v>
      </c>
      <c r="L36">
        <v>45.96</v>
      </c>
      <c r="M36">
        <v>0</v>
      </c>
      <c r="N36">
        <v>34.07</v>
      </c>
      <c r="O36">
        <v>64.150000000000006</v>
      </c>
    </row>
    <row r="37" spans="1:15" x14ac:dyDescent="0.3">
      <c r="A37" s="3"/>
      <c r="B37" s="3"/>
      <c r="C37" s="1" t="s">
        <v>20</v>
      </c>
      <c r="D37">
        <v>96.49666666666667</v>
      </c>
      <c r="E37">
        <v>60.35</v>
      </c>
      <c r="F37">
        <v>0</v>
      </c>
      <c r="G37">
        <v>81.286666666666662</v>
      </c>
      <c r="H37">
        <v>85.813333333333347</v>
      </c>
      <c r="I37">
        <v>85.303333333333327</v>
      </c>
      <c r="J37">
        <v>85.443333333333342</v>
      </c>
      <c r="K37">
        <v>73.146666666666675</v>
      </c>
      <c r="L37">
        <v>87.240000000000009</v>
      </c>
      <c r="M37">
        <v>77.096666666666678</v>
      </c>
      <c r="N37">
        <v>0</v>
      </c>
      <c r="O37">
        <v>6.85</v>
      </c>
    </row>
    <row r="38" spans="1:15" x14ac:dyDescent="0.3">
      <c r="A38" s="3"/>
      <c r="B38" s="3"/>
      <c r="C38" s="1" t="s">
        <v>21</v>
      </c>
      <c r="D38">
        <v>0</v>
      </c>
      <c r="E38">
        <v>83.235966542631473</v>
      </c>
      <c r="F38">
        <v>0</v>
      </c>
      <c r="G38">
        <v>192.09</v>
      </c>
      <c r="H38">
        <v>0</v>
      </c>
      <c r="I38">
        <v>173.56</v>
      </c>
      <c r="J38">
        <v>242.34</v>
      </c>
      <c r="K38">
        <v>219.07</v>
      </c>
      <c r="L38">
        <v>246.31</v>
      </c>
      <c r="M38">
        <v>227.77</v>
      </c>
      <c r="N38">
        <v>401.11</v>
      </c>
      <c r="O38">
        <v>233.4</v>
      </c>
    </row>
    <row r="39" spans="1:15" x14ac:dyDescent="0.3">
      <c r="A39" s="3"/>
      <c r="B39" s="3" t="s">
        <v>25</v>
      </c>
      <c r="C39" s="1" t="s">
        <v>18</v>
      </c>
      <c r="D39">
        <v>0</v>
      </c>
      <c r="E39">
        <v>0</v>
      </c>
      <c r="F39">
        <v>4.1133333333347082</v>
      </c>
      <c r="G39">
        <v>0</v>
      </c>
      <c r="H39">
        <v>2.168333333335795</v>
      </c>
      <c r="I39">
        <v>0</v>
      </c>
      <c r="J39">
        <v>0</v>
      </c>
      <c r="K39">
        <v>0</v>
      </c>
      <c r="L39">
        <v>0</v>
      </c>
      <c r="M39">
        <v>0</v>
      </c>
      <c r="N39">
        <v>6.2116666666660194</v>
      </c>
      <c r="O39">
        <v>70.803333333333399</v>
      </c>
    </row>
    <row r="40" spans="1:15" x14ac:dyDescent="0.3">
      <c r="A40" s="3"/>
      <c r="B40" s="3"/>
      <c r="C40" s="1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3"/>
      <c r="B41" s="3"/>
      <c r="C41" s="1" t="s">
        <v>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3"/>
      <c r="B42" s="3"/>
      <c r="C42" s="1" t="s">
        <v>21</v>
      </c>
      <c r="D42">
        <v>0</v>
      </c>
      <c r="E42">
        <v>0</v>
      </c>
      <c r="F42">
        <v>0</v>
      </c>
      <c r="G42">
        <v>3.4650000000000891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5" spans="1:15" x14ac:dyDescent="0.3">
      <c r="A45" t="s">
        <v>27</v>
      </c>
    </row>
    <row r="46" spans="1:15" x14ac:dyDescent="0.3">
      <c r="A46" s="1" t="s">
        <v>1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10</v>
      </c>
      <c r="J46" s="1" t="s">
        <v>11</v>
      </c>
      <c r="K46" s="1" t="s">
        <v>12</v>
      </c>
      <c r="L46" s="1" t="s">
        <v>13</v>
      </c>
      <c r="M46" s="1" t="s">
        <v>14</v>
      </c>
      <c r="N46" s="1" t="s">
        <v>15</v>
      </c>
    </row>
    <row r="47" spans="1:15" x14ac:dyDescent="0.3">
      <c r="A47" s="3" t="s">
        <v>16</v>
      </c>
      <c r="B47" s="1" t="s">
        <v>18</v>
      </c>
      <c r="C47">
        <v>1448.994696969698</v>
      </c>
      <c r="D47">
        <v>1408.907542300208</v>
      </c>
      <c r="E47">
        <v>922.29019393939029</v>
      </c>
      <c r="F47">
        <v>2092.128333333334</v>
      </c>
      <c r="G47">
        <v>533.77697575757702</v>
      </c>
      <c r="H47">
        <v>2173.0508125913439</v>
      </c>
      <c r="I47">
        <v>1199.9475993182859</v>
      </c>
      <c r="J47">
        <v>1298.527400681714</v>
      </c>
      <c r="K47">
        <v>1140.721666666667</v>
      </c>
      <c r="L47">
        <v>1832.184199999999</v>
      </c>
      <c r="M47">
        <v>1710.7857818181831</v>
      </c>
      <c r="N47">
        <v>1202.361618181817</v>
      </c>
    </row>
    <row r="48" spans="1:15" x14ac:dyDescent="0.3">
      <c r="A48" s="3"/>
      <c r="B48" s="1" t="s">
        <v>19</v>
      </c>
      <c r="C48">
        <v>423.87</v>
      </c>
      <c r="D48">
        <v>773.21</v>
      </c>
      <c r="E48">
        <v>0</v>
      </c>
      <c r="F48">
        <v>763.35</v>
      </c>
      <c r="G48">
        <v>0</v>
      </c>
      <c r="H48">
        <v>327.67</v>
      </c>
      <c r="I48">
        <v>1030.105734015048</v>
      </c>
      <c r="J48">
        <v>0</v>
      </c>
      <c r="K48">
        <v>0</v>
      </c>
      <c r="L48">
        <v>932.29</v>
      </c>
      <c r="M48">
        <v>0</v>
      </c>
      <c r="N48">
        <v>0</v>
      </c>
    </row>
    <row r="49" spans="1:14" x14ac:dyDescent="0.3">
      <c r="A49" s="3"/>
      <c r="B49" s="1" t="s">
        <v>20</v>
      </c>
      <c r="C49">
        <v>672.35863636363547</v>
      </c>
      <c r="D49">
        <v>618.75175757575755</v>
      </c>
      <c r="E49">
        <v>1818.5831393939429</v>
      </c>
      <c r="F49">
        <v>0</v>
      </c>
      <c r="G49">
        <v>1376.3963575757571</v>
      </c>
      <c r="H49">
        <v>66.42405454545451</v>
      </c>
      <c r="I49">
        <v>0</v>
      </c>
      <c r="J49">
        <v>1186.5843988481529</v>
      </c>
      <c r="K49">
        <v>0</v>
      </c>
      <c r="L49">
        <v>670.83352727272722</v>
      </c>
      <c r="M49">
        <v>1423.7648242424241</v>
      </c>
      <c r="N49">
        <v>0</v>
      </c>
    </row>
    <row r="50" spans="1:14" x14ac:dyDescent="0.3">
      <c r="A50" s="3"/>
      <c r="B50" s="1" t="s">
        <v>21</v>
      </c>
      <c r="C50">
        <v>905.36</v>
      </c>
      <c r="D50">
        <v>649.71403345736849</v>
      </c>
      <c r="E50">
        <v>709.71</v>
      </c>
      <c r="F50">
        <v>595.1049999999999</v>
      </c>
      <c r="G50">
        <v>1540.41</v>
      </c>
      <c r="H50">
        <v>0</v>
      </c>
      <c r="I50">
        <v>1220.53</v>
      </c>
      <c r="J50">
        <v>0</v>
      </c>
      <c r="K50">
        <v>2309.8616666666671</v>
      </c>
      <c r="L50">
        <v>15.27560606060706</v>
      </c>
      <c r="M50">
        <v>316.03272727272611</v>
      </c>
      <c r="N50">
        <v>0</v>
      </c>
    </row>
    <row r="51" spans="1:14" x14ac:dyDescent="0.3">
      <c r="A51" s="3" t="s">
        <v>26</v>
      </c>
      <c r="B51" s="1" t="s">
        <v>18</v>
      </c>
      <c r="C51">
        <v>1314.7171333333331</v>
      </c>
      <c r="D51">
        <v>1168.5307001240351</v>
      </c>
      <c r="E51">
        <v>618.18973333333611</v>
      </c>
      <c r="F51">
        <v>1405.518333333333</v>
      </c>
      <c r="G51">
        <v>1150.643333333333</v>
      </c>
      <c r="H51">
        <v>1960.6368</v>
      </c>
      <c r="I51">
        <v>505.65906734838131</v>
      </c>
      <c r="J51">
        <v>1650.053320060274</v>
      </c>
      <c r="K51">
        <v>498.72666666666692</v>
      </c>
      <c r="L51">
        <v>1173.4291333333319</v>
      </c>
      <c r="M51">
        <v>1358.0726</v>
      </c>
      <c r="N51">
        <v>1953.633333333333</v>
      </c>
    </row>
    <row r="52" spans="1:14" x14ac:dyDescent="0.3">
      <c r="A52" s="3"/>
      <c r="B52" s="1" t="s">
        <v>19</v>
      </c>
      <c r="C52">
        <v>75.099999999999994</v>
      </c>
      <c r="D52">
        <v>215.97</v>
      </c>
      <c r="E52">
        <v>0</v>
      </c>
      <c r="F52">
        <v>123.47</v>
      </c>
      <c r="G52">
        <v>0</v>
      </c>
      <c r="H52">
        <v>124.38</v>
      </c>
      <c r="I52">
        <v>365.23426598495212</v>
      </c>
      <c r="J52">
        <v>0</v>
      </c>
      <c r="K52">
        <v>0</v>
      </c>
      <c r="L52">
        <v>184.36</v>
      </c>
      <c r="M52">
        <v>0</v>
      </c>
      <c r="N52">
        <v>145.19999999999999</v>
      </c>
    </row>
    <row r="53" spans="1:14" x14ac:dyDescent="0.3">
      <c r="A53" s="3"/>
      <c r="B53" s="1" t="s">
        <v>20</v>
      </c>
      <c r="C53">
        <v>243.18620000000081</v>
      </c>
      <c r="D53">
        <v>223.39666666666659</v>
      </c>
      <c r="E53">
        <v>1136.1335999999969</v>
      </c>
      <c r="F53">
        <v>0</v>
      </c>
      <c r="G53">
        <v>0</v>
      </c>
      <c r="H53">
        <v>13.81653333333329</v>
      </c>
      <c r="I53">
        <v>0</v>
      </c>
      <c r="J53">
        <v>448.78001327305918</v>
      </c>
      <c r="K53">
        <v>0</v>
      </c>
      <c r="L53">
        <v>237.73666666666671</v>
      </c>
      <c r="M53">
        <v>290.0849333333332</v>
      </c>
      <c r="N53">
        <v>0</v>
      </c>
    </row>
    <row r="54" spans="1:14" x14ac:dyDescent="0.3">
      <c r="A54" s="3"/>
      <c r="B54" s="1" t="s">
        <v>21</v>
      </c>
      <c r="C54">
        <v>465.83</v>
      </c>
      <c r="D54">
        <v>490.93596654263149</v>
      </c>
      <c r="E54">
        <v>344.51</v>
      </c>
      <c r="F54">
        <v>569.84500000000003</v>
      </c>
      <c r="G54">
        <v>948.19</v>
      </c>
      <c r="H54">
        <v>0</v>
      </c>
      <c r="I54">
        <v>1227.94</v>
      </c>
      <c r="J54">
        <v>0</v>
      </c>
      <c r="K54">
        <v>1600.106666666667</v>
      </c>
      <c r="L54">
        <v>503.30753333333291</v>
      </c>
      <c r="M54">
        <v>450.67580000000032</v>
      </c>
      <c r="N54">
        <v>0</v>
      </c>
    </row>
    <row r="57" spans="1:14" x14ac:dyDescent="0.3">
      <c r="A57" t="s">
        <v>28</v>
      </c>
    </row>
    <row r="58" spans="1:14" x14ac:dyDescent="0.3">
      <c r="A58" s="1" t="s">
        <v>1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M58" s="1" t="s">
        <v>14</v>
      </c>
      <c r="N58" s="1" t="s">
        <v>15</v>
      </c>
    </row>
    <row r="59" spans="1:14" x14ac:dyDescent="0.3">
      <c r="A59" s="3" t="s">
        <v>16</v>
      </c>
      <c r="B59" s="1" t="s">
        <v>18</v>
      </c>
      <c r="C59">
        <v>690.11666666666667</v>
      </c>
      <c r="D59">
        <v>690.11666666666667</v>
      </c>
      <c r="E59">
        <v>690.11666666666667</v>
      </c>
      <c r="F59">
        <v>70.768024242422598</v>
      </c>
      <c r="G59">
        <v>690.11666666666667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s="3"/>
      <c r="B60" s="1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s="3"/>
      <c r="B61" s="1" t="s">
        <v>20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s="3"/>
      <c r="B62" s="1" t="s">
        <v>21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s="3" t="s">
        <v>26</v>
      </c>
      <c r="B63" s="1" t="s">
        <v>18</v>
      </c>
      <c r="C63">
        <v>419.76666666666671</v>
      </c>
      <c r="D63">
        <v>419.76666666666671</v>
      </c>
      <c r="E63">
        <v>419.76666666666671</v>
      </c>
      <c r="F63">
        <v>419.76666666666671</v>
      </c>
      <c r="G63">
        <v>419.76666666666671</v>
      </c>
      <c r="H63">
        <v>419.76666666666671</v>
      </c>
      <c r="I63">
        <v>419.76666666666671</v>
      </c>
      <c r="J63">
        <v>419.76666666666671</v>
      </c>
      <c r="K63">
        <v>419.76666666666671</v>
      </c>
      <c r="L63">
        <v>419.76666666666671</v>
      </c>
      <c r="M63">
        <v>419.76666666666671</v>
      </c>
      <c r="N63">
        <v>0</v>
      </c>
    </row>
    <row r="64" spans="1:14" x14ac:dyDescent="0.3">
      <c r="A64" s="3"/>
      <c r="B64" s="1" t="s">
        <v>19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 s="3"/>
      <c r="B65" s="1" t="s">
        <v>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s="3"/>
      <c r="B66" s="1" t="s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9" spans="1:14" x14ac:dyDescent="0.3">
      <c r="A69" t="s">
        <v>29</v>
      </c>
    </row>
    <row r="70" spans="1:14" x14ac:dyDescent="0.3">
      <c r="A70" s="1" t="s">
        <v>1</v>
      </c>
      <c r="B70" s="1" t="s">
        <v>3</v>
      </c>
      <c r="C70" s="1" t="s">
        <v>4</v>
      </c>
      <c r="D70" s="1" t="s">
        <v>5</v>
      </c>
      <c r="E70" s="1" t="s">
        <v>6</v>
      </c>
      <c r="F70" s="1" t="s">
        <v>7</v>
      </c>
      <c r="G70" s="1" t="s">
        <v>8</v>
      </c>
      <c r="H70" s="1" t="s">
        <v>9</v>
      </c>
      <c r="I70" s="1" t="s">
        <v>10</v>
      </c>
      <c r="J70" s="1" t="s">
        <v>11</v>
      </c>
      <c r="K70" s="1" t="s">
        <v>12</v>
      </c>
      <c r="L70" s="1" t="s">
        <v>13</v>
      </c>
      <c r="M70" s="1" t="s">
        <v>14</v>
      </c>
      <c r="N70" s="1" t="s">
        <v>15</v>
      </c>
    </row>
    <row r="71" spans="1:14" x14ac:dyDescent="0.3">
      <c r="A71" s="3" t="s">
        <v>16</v>
      </c>
      <c r="B71" s="1" t="s">
        <v>18</v>
      </c>
      <c r="C71">
        <v>476.42136363636439</v>
      </c>
      <c r="D71">
        <v>131.77157260323671</v>
      </c>
      <c r="E71">
        <v>0</v>
      </c>
      <c r="F71">
        <v>342.66402424242051</v>
      </c>
      <c r="G71">
        <v>0</v>
      </c>
      <c r="H71">
        <v>716.21581259134382</v>
      </c>
      <c r="I71">
        <v>475.03593265161891</v>
      </c>
      <c r="J71">
        <v>335.46333333333308</v>
      </c>
      <c r="K71">
        <v>0</v>
      </c>
      <c r="L71">
        <v>0</v>
      </c>
      <c r="M71">
        <v>89.410048484849881</v>
      </c>
      <c r="N71">
        <v>0</v>
      </c>
    </row>
    <row r="72" spans="1:14" x14ac:dyDescent="0.3">
      <c r="A72" s="3"/>
      <c r="B72" s="1" t="s">
        <v>19</v>
      </c>
      <c r="C72">
        <v>0</v>
      </c>
      <c r="D72">
        <v>337.58</v>
      </c>
      <c r="E72">
        <v>0</v>
      </c>
      <c r="F72">
        <v>362.01</v>
      </c>
      <c r="G72">
        <v>0</v>
      </c>
      <c r="H72">
        <v>0</v>
      </c>
      <c r="I72">
        <v>662.95573401504794</v>
      </c>
      <c r="J72">
        <v>341.83</v>
      </c>
      <c r="K72">
        <v>0</v>
      </c>
      <c r="L72">
        <v>575.31999999999994</v>
      </c>
      <c r="M72">
        <v>245.79</v>
      </c>
      <c r="N72">
        <v>0</v>
      </c>
    </row>
    <row r="73" spans="1:14" x14ac:dyDescent="0.3">
      <c r="A73" s="3"/>
      <c r="B73" s="1" t="s">
        <v>20</v>
      </c>
      <c r="C73">
        <v>0</v>
      </c>
      <c r="D73">
        <v>0</v>
      </c>
      <c r="E73">
        <v>1059.47500606061</v>
      </c>
      <c r="F73">
        <v>392.80546060606412</v>
      </c>
      <c r="G73">
        <v>1127.9416666666671</v>
      </c>
      <c r="H73">
        <v>611.1729939393939</v>
      </c>
      <c r="I73">
        <v>0</v>
      </c>
      <c r="J73">
        <v>608.95408469263521</v>
      </c>
      <c r="K73">
        <v>0</v>
      </c>
      <c r="L73">
        <v>0</v>
      </c>
      <c r="M73">
        <v>646.24333333333345</v>
      </c>
      <c r="N73">
        <v>0</v>
      </c>
    </row>
    <row r="74" spans="1:14" x14ac:dyDescent="0.3">
      <c r="A74" s="3"/>
      <c r="B74" s="1" t="s">
        <v>21</v>
      </c>
      <c r="C74">
        <v>0</v>
      </c>
      <c r="D74">
        <v>0</v>
      </c>
      <c r="E74">
        <v>0</v>
      </c>
      <c r="F74">
        <v>0</v>
      </c>
      <c r="G74">
        <v>597.35</v>
      </c>
      <c r="H74">
        <v>0</v>
      </c>
      <c r="I74">
        <v>587.29999999999995</v>
      </c>
      <c r="J74">
        <v>0</v>
      </c>
      <c r="K74">
        <v>1725.291666666667</v>
      </c>
      <c r="L74">
        <v>1004.977272727274</v>
      </c>
      <c r="M74">
        <v>620.78</v>
      </c>
      <c r="N74">
        <v>0</v>
      </c>
    </row>
    <row r="75" spans="1:14" x14ac:dyDescent="0.3">
      <c r="A75" s="3" t="s">
        <v>26</v>
      </c>
      <c r="B75" s="1" t="s">
        <v>18</v>
      </c>
      <c r="C75">
        <v>13.838799999999649</v>
      </c>
      <c r="D75">
        <v>749.13016679070347</v>
      </c>
      <c r="E75">
        <v>0</v>
      </c>
      <c r="F75">
        <v>257.66233333333582</v>
      </c>
      <c r="G75">
        <v>0</v>
      </c>
      <c r="H75">
        <v>698.69346666666684</v>
      </c>
      <c r="I75">
        <v>138.24667993972551</v>
      </c>
      <c r="J75">
        <v>701.40666666666652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s="3"/>
      <c r="B76" s="1" t="s">
        <v>19</v>
      </c>
      <c r="C76">
        <v>0</v>
      </c>
      <c r="D76">
        <v>138.16999999999999</v>
      </c>
      <c r="E76">
        <v>0</v>
      </c>
      <c r="F76">
        <v>49.18</v>
      </c>
      <c r="G76">
        <v>0</v>
      </c>
      <c r="H76">
        <v>0</v>
      </c>
      <c r="I76">
        <v>268.22426598495213</v>
      </c>
      <c r="J76">
        <v>107.46</v>
      </c>
      <c r="K76">
        <v>0</v>
      </c>
      <c r="L76">
        <v>125.21</v>
      </c>
      <c r="M76">
        <v>0</v>
      </c>
      <c r="N76">
        <v>0</v>
      </c>
    </row>
    <row r="77" spans="1:14" x14ac:dyDescent="0.3">
      <c r="A77" s="3"/>
      <c r="B77" s="1" t="s">
        <v>20</v>
      </c>
      <c r="C77">
        <v>0</v>
      </c>
      <c r="D77">
        <v>0</v>
      </c>
      <c r="E77">
        <v>979.44026666666412</v>
      </c>
      <c r="F77">
        <v>742.57433333333097</v>
      </c>
      <c r="G77">
        <v>503.80666666666667</v>
      </c>
      <c r="H77">
        <v>224.29333333333341</v>
      </c>
      <c r="I77">
        <v>0</v>
      </c>
      <c r="J77">
        <v>228.2310547013042</v>
      </c>
      <c r="K77">
        <v>0</v>
      </c>
      <c r="L77">
        <v>0</v>
      </c>
      <c r="M77">
        <v>136.53826666666649</v>
      </c>
      <c r="N77">
        <v>0</v>
      </c>
    </row>
    <row r="78" spans="1:14" x14ac:dyDescent="0.3">
      <c r="A78" s="3"/>
      <c r="B78" s="1" t="s">
        <v>21</v>
      </c>
      <c r="C78">
        <v>0</v>
      </c>
      <c r="D78">
        <v>0</v>
      </c>
      <c r="E78">
        <v>0</v>
      </c>
      <c r="F78">
        <v>0</v>
      </c>
      <c r="G78">
        <v>545.61</v>
      </c>
      <c r="H78">
        <v>0</v>
      </c>
      <c r="I78">
        <v>641.29</v>
      </c>
      <c r="J78">
        <v>0</v>
      </c>
      <c r="K78">
        <v>1049.416666666667</v>
      </c>
      <c r="L78">
        <v>873.15419999999972</v>
      </c>
      <c r="M78">
        <v>515.63</v>
      </c>
      <c r="N78">
        <v>0</v>
      </c>
    </row>
    <row r="81" spans="1:14" x14ac:dyDescent="0.3">
      <c r="A81" t="s">
        <v>30</v>
      </c>
    </row>
    <row r="82" spans="1:14" x14ac:dyDescent="0.3">
      <c r="A82" s="1" t="s">
        <v>1</v>
      </c>
      <c r="B82" s="1" t="s">
        <v>2</v>
      </c>
      <c r="C82" s="1" t="s">
        <v>4</v>
      </c>
      <c r="D82" s="1" t="s">
        <v>5</v>
      </c>
      <c r="E82" s="1" t="s">
        <v>6</v>
      </c>
      <c r="F82" s="1" t="s">
        <v>7</v>
      </c>
      <c r="G82" s="1" t="s">
        <v>8</v>
      </c>
      <c r="H82" s="1" t="s">
        <v>9</v>
      </c>
      <c r="I82" s="1" t="s">
        <v>10</v>
      </c>
      <c r="J82" s="1" t="s">
        <v>11</v>
      </c>
      <c r="K82" s="1" t="s">
        <v>12</v>
      </c>
      <c r="L82" s="1" t="s">
        <v>13</v>
      </c>
      <c r="M82" s="1" t="s">
        <v>14</v>
      </c>
      <c r="N82" s="1" t="s">
        <v>15</v>
      </c>
    </row>
    <row r="83" spans="1:14" x14ac:dyDescent="0.3">
      <c r="A83" s="3" t="s">
        <v>16</v>
      </c>
      <c r="B83" s="1" t="s">
        <v>17</v>
      </c>
      <c r="C83">
        <v>69</v>
      </c>
      <c r="D83">
        <v>61</v>
      </c>
      <c r="E83">
        <v>66</v>
      </c>
      <c r="F83">
        <v>69</v>
      </c>
      <c r="G83">
        <v>60</v>
      </c>
      <c r="H83">
        <v>62</v>
      </c>
      <c r="I83">
        <v>63</v>
      </c>
      <c r="J83">
        <v>58</v>
      </c>
      <c r="K83">
        <v>57</v>
      </c>
      <c r="L83">
        <v>72</v>
      </c>
      <c r="M83">
        <v>62</v>
      </c>
      <c r="N83">
        <v>57</v>
      </c>
    </row>
    <row r="84" spans="1:14" x14ac:dyDescent="0.3">
      <c r="A84" s="3"/>
      <c r="B84" s="1" t="s">
        <v>22</v>
      </c>
      <c r="C84">
        <v>19</v>
      </c>
      <c r="D84">
        <v>16</v>
      </c>
      <c r="E84">
        <v>18</v>
      </c>
      <c r="F84">
        <v>18</v>
      </c>
      <c r="G84">
        <v>18</v>
      </c>
      <c r="H84">
        <v>8</v>
      </c>
      <c r="I84">
        <v>14</v>
      </c>
      <c r="J84">
        <v>17</v>
      </c>
      <c r="K84">
        <v>16</v>
      </c>
      <c r="L84">
        <v>17</v>
      </c>
      <c r="M84">
        <v>18</v>
      </c>
      <c r="N84">
        <v>12</v>
      </c>
    </row>
    <row r="85" spans="1:14" x14ac:dyDescent="0.3">
      <c r="A85" s="3"/>
      <c r="B85" s="1" t="s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 s="3"/>
      <c r="B86" s="1" t="s">
        <v>24</v>
      </c>
      <c r="C86">
        <v>11</v>
      </c>
      <c r="D86">
        <v>41</v>
      </c>
      <c r="E86">
        <v>15</v>
      </c>
      <c r="F86">
        <v>4</v>
      </c>
      <c r="G86">
        <v>16</v>
      </c>
      <c r="H86">
        <v>0</v>
      </c>
      <c r="I86">
        <v>0</v>
      </c>
      <c r="J86">
        <v>0</v>
      </c>
      <c r="K86">
        <v>0</v>
      </c>
      <c r="L86">
        <v>9</v>
      </c>
      <c r="M86">
        <v>7</v>
      </c>
      <c r="N86">
        <v>2</v>
      </c>
    </row>
    <row r="87" spans="1:14" x14ac:dyDescent="0.3">
      <c r="A87" s="3"/>
      <c r="B87" s="1" t="s">
        <v>25</v>
      </c>
      <c r="C87">
        <v>48</v>
      </c>
      <c r="D87">
        <v>49</v>
      </c>
      <c r="E87">
        <v>44</v>
      </c>
      <c r="F87">
        <v>49</v>
      </c>
      <c r="G87">
        <v>47</v>
      </c>
      <c r="H87">
        <v>50</v>
      </c>
      <c r="I87">
        <v>47</v>
      </c>
      <c r="J87">
        <v>43</v>
      </c>
      <c r="K87">
        <v>48</v>
      </c>
      <c r="L87">
        <v>46</v>
      </c>
      <c r="M87">
        <v>51</v>
      </c>
      <c r="N87">
        <v>42</v>
      </c>
    </row>
    <row r="88" spans="1:14" x14ac:dyDescent="0.3">
      <c r="A88" s="3" t="s">
        <v>26</v>
      </c>
      <c r="B88" s="1" t="s">
        <v>17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s="3"/>
      <c r="B89" s="1" t="s">
        <v>22</v>
      </c>
      <c r="C89">
        <v>1</v>
      </c>
      <c r="D89">
        <v>1</v>
      </c>
      <c r="E89">
        <v>1</v>
      </c>
      <c r="F89">
        <v>1</v>
      </c>
      <c r="G89">
        <v>1</v>
      </c>
      <c r="H89">
        <v>12</v>
      </c>
      <c r="I89">
        <v>3</v>
      </c>
      <c r="J89">
        <v>1</v>
      </c>
      <c r="K89">
        <v>1</v>
      </c>
      <c r="L89">
        <v>1</v>
      </c>
      <c r="M89">
        <v>1</v>
      </c>
      <c r="N89">
        <v>6</v>
      </c>
    </row>
    <row r="90" spans="1:14" x14ac:dyDescent="0.3">
      <c r="A90" s="3"/>
      <c r="B90" s="1" t="s">
        <v>23</v>
      </c>
      <c r="C90">
        <v>66</v>
      </c>
      <c r="D90">
        <v>60</v>
      </c>
      <c r="E90">
        <v>63</v>
      </c>
      <c r="F90">
        <v>58</v>
      </c>
      <c r="G90">
        <v>60</v>
      </c>
      <c r="H90">
        <v>52</v>
      </c>
      <c r="I90">
        <v>50</v>
      </c>
      <c r="J90">
        <v>57</v>
      </c>
      <c r="K90">
        <v>55</v>
      </c>
      <c r="L90">
        <v>66</v>
      </c>
      <c r="M90">
        <v>60</v>
      </c>
      <c r="N90">
        <v>56</v>
      </c>
    </row>
    <row r="91" spans="1:14" x14ac:dyDescent="0.3">
      <c r="A91" s="3"/>
      <c r="B91" s="1" t="s">
        <v>24</v>
      </c>
      <c r="C91">
        <v>35</v>
      </c>
      <c r="D91">
        <v>6</v>
      </c>
      <c r="E91">
        <v>35</v>
      </c>
      <c r="F91">
        <v>40</v>
      </c>
      <c r="G91">
        <v>41</v>
      </c>
      <c r="H91">
        <v>43</v>
      </c>
      <c r="I91">
        <v>44</v>
      </c>
      <c r="J91">
        <v>45</v>
      </c>
      <c r="K91">
        <v>46</v>
      </c>
      <c r="L91">
        <v>38</v>
      </c>
      <c r="M91">
        <v>54</v>
      </c>
      <c r="N91">
        <v>47</v>
      </c>
    </row>
    <row r="92" spans="1:14" x14ac:dyDescent="0.3">
      <c r="A92" s="3"/>
      <c r="B92" s="1" t="s">
        <v>25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3</v>
      </c>
    </row>
  </sheetData>
  <mergeCells count="20">
    <mergeCell ref="B3:B6"/>
    <mergeCell ref="B11:B14"/>
    <mergeCell ref="B27:B30"/>
    <mergeCell ref="A3:A22"/>
    <mergeCell ref="B19:B22"/>
    <mergeCell ref="A88:A92"/>
    <mergeCell ref="B15:B18"/>
    <mergeCell ref="A63:A66"/>
    <mergeCell ref="A47:A50"/>
    <mergeCell ref="B7:B10"/>
    <mergeCell ref="A59:A62"/>
    <mergeCell ref="A51:A54"/>
    <mergeCell ref="B35:B38"/>
    <mergeCell ref="B23:B26"/>
    <mergeCell ref="A75:A78"/>
    <mergeCell ref="B39:B42"/>
    <mergeCell ref="A83:A87"/>
    <mergeCell ref="A23:A42"/>
    <mergeCell ref="A71:A74"/>
    <mergeCell ref="B31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B225-2068-4F22-AC60-EE7E4F1ECD55}">
  <dimension ref="A1:X92"/>
  <sheetViews>
    <sheetView topLeftCell="P75" zoomScale="63" zoomScaleNormal="69" workbookViewId="0">
      <selection activeCell="AA92" sqref="AA92"/>
    </sheetView>
  </sheetViews>
  <sheetFormatPr defaultRowHeight="14.4" x14ac:dyDescent="0.3"/>
  <cols>
    <col min="19" max="19" width="17.109375" bestFit="1" customWidth="1"/>
    <col min="20" max="20" width="15.5546875" bestFit="1" customWidth="1"/>
    <col min="21" max="21" width="13.44140625" bestFit="1" customWidth="1"/>
    <col min="23" max="23" width="23.5546875" bestFit="1" customWidth="1"/>
  </cols>
  <sheetData>
    <row r="1" spans="1:21" x14ac:dyDescent="0.3">
      <c r="A1" t="s">
        <v>0</v>
      </c>
      <c r="T1" t="s">
        <v>31</v>
      </c>
      <c r="U1" t="s">
        <v>32</v>
      </c>
    </row>
    <row r="2" spans="1:2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S2" s="1" t="s">
        <v>4</v>
      </c>
      <c r="T2">
        <f>SUM(C47:C54)</f>
        <v>5549.4166666666679</v>
      </c>
      <c r="U2">
        <f>SUM(C59:C66)</f>
        <v>1109.8833333333334</v>
      </c>
    </row>
    <row r="3" spans="1:21" x14ac:dyDescent="0.3">
      <c r="A3" s="3" t="s">
        <v>16</v>
      </c>
      <c r="B3" s="3" t="s">
        <v>17</v>
      </c>
      <c r="C3" s="1" t="s">
        <v>18</v>
      </c>
      <c r="D3">
        <v>776.16500000000008</v>
      </c>
      <c r="E3">
        <v>751.06000000000006</v>
      </c>
      <c r="F3">
        <v>819.57999999999993</v>
      </c>
      <c r="G3">
        <v>836.02500000000009</v>
      </c>
      <c r="H3">
        <v>702.995</v>
      </c>
      <c r="I3">
        <v>699.21499999999992</v>
      </c>
      <c r="J3">
        <v>674.51</v>
      </c>
      <c r="K3">
        <v>681.6</v>
      </c>
      <c r="L3">
        <v>641.29999999999995</v>
      </c>
      <c r="M3">
        <v>905.67</v>
      </c>
      <c r="N3">
        <v>691.59500000000003</v>
      </c>
      <c r="O3">
        <v>632.96</v>
      </c>
      <c r="S3" s="1" t="s">
        <v>5</v>
      </c>
      <c r="T3">
        <f>SUM(D47:D54)</f>
        <v>5549.4166666666679</v>
      </c>
      <c r="U3">
        <f>SUM(D59:D66)</f>
        <v>1109.8833333333334</v>
      </c>
    </row>
    <row r="4" spans="1:21" x14ac:dyDescent="0.3">
      <c r="A4" s="3"/>
      <c r="B4" s="3"/>
      <c r="C4" s="1" t="s">
        <v>19</v>
      </c>
      <c r="D4">
        <v>270.38</v>
      </c>
      <c r="E4">
        <v>215.54</v>
      </c>
      <c r="F4">
        <v>246.84</v>
      </c>
      <c r="G4">
        <v>226.47</v>
      </c>
      <c r="H4">
        <v>228.39</v>
      </c>
      <c r="I4">
        <v>218.57</v>
      </c>
      <c r="J4">
        <v>250.21</v>
      </c>
      <c r="K4">
        <v>227.22</v>
      </c>
      <c r="L4">
        <v>193.97</v>
      </c>
      <c r="M4">
        <v>171.26</v>
      </c>
      <c r="N4">
        <v>214.56</v>
      </c>
      <c r="O4">
        <v>170.64</v>
      </c>
      <c r="S4" s="1" t="s">
        <v>6</v>
      </c>
      <c r="T4">
        <f>SUM(E47:E54)</f>
        <v>5549.4166666666661</v>
      </c>
      <c r="U4">
        <f>SUM(E59:E66)</f>
        <v>1109.8833333333334</v>
      </c>
    </row>
    <row r="5" spans="1:21" x14ac:dyDescent="0.3">
      <c r="A5" s="3"/>
      <c r="B5" s="3"/>
      <c r="C5" s="1" t="s">
        <v>20</v>
      </c>
      <c r="D5">
        <v>273.58363636363629</v>
      </c>
      <c r="E5">
        <v>255.28909090909079</v>
      </c>
      <c r="F5">
        <v>258.79000000000002</v>
      </c>
      <c r="G5">
        <v>280.52454545454538</v>
      </c>
      <c r="H5">
        <v>260.74181818181819</v>
      </c>
      <c r="I5">
        <v>265.11272727272723</v>
      </c>
      <c r="J5">
        <v>257.85272727272718</v>
      </c>
      <c r="K5">
        <v>235.49727272727279</v>
      </c>
      <c r="L5">
        <v>261.3372727272727</v>
      </c>
      <c r="M5">
        <v>268.06272727272727</v>
      </c>
      <c r="N5">
        <v>277.75909090909079</v>
      </c>
      <c r="O5">
        <v>248.75</v>
      </c>
      <c r="S5" s="1" t="s">
        <v>7</v>
      </c>
      <c r="T5">
        <f>SUM(F47:F54)</f>
        <v>5549.4166666666679</v>
      </c>
      <c r="U5">
        <f>SUM(F59:F66)</f>
        <v>490.53469090908931</v>
      </c>
    </row>
    <row r="6" spans="1:21" x14ac:dyDescent="0.3">
      <c r="A6" s="3"/>
      <c r="B6" s="3"/>
      <c r="C6" s="1" t="s">
        <v>21</v>
      </c>
      <c r="D6">
        <v>395.91</v>
      </c>
      <c r="E6">
        <v>302.14</v>
      </c>
      <c r="F6">
        <v>303.49</v>
      </c>
      <c r="G6">
        <v>371.2</v>
      </c>
      <c r="H6">
        <v>304.26</v>
      </c>
      <c r="I6">
        <v>345.08</v>
      </c>
      <c r="J6">
        <v>376.07</v>
      </c>
      <c r="K6">
        <v>300.85000000000002</v>
      </c>
      <c r="L6">
        <v>317.32</v>
      </c>
      <c r="M6">
        <v>452.24</v>
      </c>
      <c r="N6">
        <v>347.38</v>
      </c>
      <c r="O6">
        <v>354.34</v>
      </c>
      <c r="S6" s="1" t="s">
        <v>8</v>
      </c>
      <c r="T6">
        <f>SUM(G47:G54)</f>
        <v>5549.4166666666679</v>
      </c>
      <c r="U6">
        <f>SUM(G59:G66)</f>
        <v>1109.8833333333334</v>
      </c>
    </row>
    <row r="7" spans="1:21" x14ac:dyDescent="0.3">
      <c r="A7" s="3"/>
      <c r="B7" s="3" t="s">
        <v>22</v>
      </c>
      <c r="C7" s="1" t="s">
        <v>18</v>
      </c>
      <c r="D7">
        <v>129.32499999999999</v>
      </c>
      <c r="E7">
        <v>80.224000000001823</v>
      </c>
      <c r="F7">
        <v>122.8352000000019</v>
      </c>
      <c r="G7">
        <v>137.72499999999999</v>
      </c>
      <c r="H7">
        <v>109.97499999999999</v>
      </c>
      <c r="I7">
        <v>0</v>
      </c>
      <c r="J7">
        <v>64.527479258010715</v>
      </c>
      <c r="K7">
        <v>97.77000000000001</v>
      </c>
      <c r="L7">
        <v>102</v>
      </c>
      <c r="M7">
        <v>94.279200000000841</v>
      </c>
      <c r="N7">
        <v>99.517600000003398</v>
      </c>
      <c r="O7">
        <v>0</v>
      </c>
      <c r="S7" s="1" t="s">
        <v>9</v>
      </c>
      <c r="T7">
        <f>SUM(H47:H54)</f>
        <v>4665.9782004701319</v>
      </c>
      <c r="U7">
        <f>SUM(H59:H66)</f>
        <v>419.76666666666671</v>
      </c>
    </row>
    <row r="8" spans="1:21" x14ac:dyDescent="0.3">
      <c r="A8" s="3"/>
      <c r="B8" s="3"/>
      <c r="C8" s="1" t="s">
        <v>19</v>
      </c>
      <c r="D8">
        <v>16.47</v>
      </c>
      <c r="E8">
        <v>31.6</v>
      </c>
      <c r="F8">
        <v>6.4</v>
      </c>
      <c r="G8">
        <v>13.07</v>
      </c>
      <c r="H8">
        <v>10.17</v>
      </c>
      <c r="I8">
        <v>0</v>
      </c>
      <c r="J8">
        <v>7.23</v>
      </c>
      <c r="K8">
        <v>3.8057340150479599</v>
      </c>
      <c r="L8">
        <v>21.9</v>
      </c>
      <c r="M8">
        <v>9.8800000000000008</v>
      </c>
      <c r="N8">
        <v>0</v>
      </c>
      <c r="O8">
        <v>0</v>
      </c>
      <c r="S8" s="1" t="s">
        <v>10</v>
      </c>
      <c r="T8">
        <f>SUM(I47:I54)</f>
        <v>5549.4166666666679</v>
      </c>
      <c r="U8">
        <f>SUM(I59:I66)</f>
        <v>419.76666666666671</v>
      </c>
    </row>
    <row r="9" spans="1:21" x14ac:dyDescent="0.3">
      <c r="A9" s="3"/>
      <c r="B9" s="3"/>
      <c r="C9" s="1" t="s">
        <v>20</v>
      </c>
      <c r="D9">
        <v>280.02499999999918</v>
      </c>
      <c r="E9">
        <v>270.52600000000001</v>
      </c>
      <c r="F9">
        <v>285.96480000000003</v>
      </c>
      <c r="G9">
        <v>271.0350000000002</v>
      </c>
      <c r="H9">
        <v>275.48500000000251</v>
      </c>
      <c r="I9">
        <v>200</v>
      </c>
      <c r="J9">
        <v>262.31360000000001</v>
      </c>
      <c r="K9">
        <v>250.75304142824501</v>
      </c>
      <c r="L9">
        <v>240.17014529869579</v>
      </c>
      <c r="M9">
        <v>285.4708</v>
      </c>
      <c r="N9">
        <v>299.06240000000003</v>
      </c>
      <c r="O9">
        <v>255.01</v>
      </c>
      <c r="S9" s="1" t="s">
        <v>11</v>
      </c>
      <c r="T9">
        <f>SUM(J47:J54)</f>
        <v>4583.9451328632003</v>
      </c>
      <c r="U9">
        <f>SUM(J59:J66)</f>
        <v>419.76666666666671</v>
      </c>
    </row>
    <row r="10" spans="1:21" x14ac:dyDescent="0.3">
      <c r="A10" s="3"/>
      <c r="B10" s="3"/>
      <c r="C10" s="1" t="s">
        <v>21</v>
      </c>
      <c r="D10">
        <v>49.18</v>
      </c>
      <c r="E10">
        <v>17.649999999999999</v>
      </c>
      <c r="F10">
        <v>34.799999999999997</v>
      </c>
      <c r="G10">
        <v>28.17</v>
      </c>
      <c r="H10">
        <v>54.37</v>
      </c>
      <c r="I10">
        <v>0</v>
      </c>
      <c r="J10">
        <v>0</v>
      </c>
      <c r="K10">
        <v>52.03</v>
      </c>
      <c r="L10">
        <v>34.049999999999997</v>
      </c>
      <c r="M10">
        <v>35.369999999999997</v>
      </c>
      <c r="N10">
        <v>51.42</v>
      </c>
      <c r="O10">
        <v>44.99</v>
      </c>
      <c r="S10" s="1" t="s">
        <v>12</v>
      </c>
      <c r="T10">
        <f>SUM(K47:K54)</f>
        <v>5549.4166666666679</v>
      </c>
      <c r="U10">
        <f>SUM(K59:K66)</f>
        <v>419.76666666666671</v>
      </c>
    </row>
    <row r="11" spans="1:21" x14ac:dyDescent="0.3">
      <c r="A11" s="3"/>
      <c r="B11" s="3" t="s">
        <v>23</v>
      </c>
      <c r="C11" s="1" t="s">
        <v>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S11" s="1" t="s">
        <v>13</v>
      </c>
      <c r="T11">
        <f>SUM(L47:L54)</f>
        <v>5549.4166666666642</v>
      </c>
      <c r="U11">
        <f>SUM(L59:L66)</f>
        <v>419.76666666666671</v>
      </c>
    </row>
    <row r="12" spans="1:21" x14ac:dyDescent="0.3">
      <c r="A12" s="3"/>
      <c r="B12" s="3"/>
      <c r="C12" s="1" t="s">
        <v>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S12" s="1" t="s">
        <v>14</v>
      </c>
      <c r="T12">
        <f>SUM(M47:M54)</f>
        <v>5549.416666666667</v>
      </c>
      <c r="U12">
        <f>SUM(M59:M66)</f>
        <v>419.76666666666671</v>
      </c>
    </row>
    <row r="13" spans="1:21" x14ac:dyDescent="0.3">
      <c r="A13" s="3"/>
      <c r="B13" s="3"/>
      <c r="C13" s="1" t="s">
        <v>20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S13" s="1" t="s">
        <v>15</v>
      </c>
      <c r="T13">
        <f>SUM(N47:N54)</f>
        <v>3301.19495151515</v>
      </c>
      <c r="U13">
        <f>SUM(N71:N78)</f>
        <v>0</v>
      </c>
    </row>
    <row r="14" spans="1:21" x14ac:dyDescent="0.3">
      <c r="A14" s="3"/>
      <c r="B14" s="3"/>
      <c r="C14" s="1" t="s">
        <v>21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21" x14ac:dyDescent="0.3">
      <c r="A15" s="3"/>
      <c r="B15" s="3" t="s">
        <v>24</v>
      </c>
      <c r="C15" s="1" t="s">
        <v>18</v>
      </c>
      <c r="D15">
        <v>34.020000000000103</v>
      </c>
      <c r="E15">
        <v>862.83500000000004</v>
      </c>
      <c r="F15">
        <v>95.156566542626592</v>
      </c>
      <c r="G15">
        <v>52.007333333335509</v>
      </c>
      <c r="H15">
        <v>2.099999999995816E-2</v>
      </c>
      <c r="I15">
        <v>0</v>
      </c>
      <c r="J15">
        <v>0</v>
      </c>
      <c r="K15">
        <v>0</v>
      </c>
      <c r="L15">
        <v>0</v>
      </c>
      <c r="M15">
        <v>168.26999999999839</v>
      </c>
      <c r="N15">
        <v>72.649799999995707</v>
      </c>
      <c r="O15">
        <v>0</v>
      </c>
    </row>
    <row r="16" spans="1:21" x14ac:dyDescent="0.3">
      <c r="A16" s="3"/>
      <c r="B16" s="3"/>
      <c r="C16" s="1" t="s">
        <v>19</v>
      </c>
      <c r="D16">
        <v>31.08</v>
      </c>
      <c r="E16">
        <v>45</v>
      </c>
      <c r="F16">
        <v>0</v>
      </c>
      <c r="G16">
        <v>42.12</v>
      </c>
      <c r="H16">
        <v>40.4</v>
      </c>
      <c r="I16">
        <v>0</v>
      </c>
      <c r="J16">
        <v>0</v>
      </c>
      <c r="K16">
        <v>0</v>
      </c>
      <c r="L16">
        <v>0</v>
      </c>
      <c r="M16">
        <v>56.73</v>
      </c>
      <c r="N16">
        <v>0</v>
      </c>
      <c r="O16">
        <v>0</v>
      </c>
    </row>
    <row r="17" spans="1:24" x14ac:dyDescent="0.3">
      <c r="A17" s="3"/>
      <c r="B17" s="3"/>
      <c r="C17" s="1" t="s">
        <v>20</v>
      </c>
      <c r="D17">
        <v>0</v>
      </c>
      <c r="E17">
        <v>0</v>
      </c>
      <c r="F17">
        <v>82.19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99.713333333333324</v>
      </c>
      <c r="O17">
        <v>50</v>
      </c>
    </row>
    <row r="18" spans="1:24" x14ac:dyDescent="0.3">
      <c r="A18" s="3"/>
      <c r="B18" s="3"/>
      <c r="C18" s="1" t="s">
        <v>21</v>
      </c>
      <c r="D18">
        <v>209.9</v>
      </c>
      <c r="E18">
        <v>102.2040334573685</v>
      </c>
      <c r="F18">
        <v>194.53</v>
      </c>
      <c r="G18">
        <v>0</v>
      </c>
      <c r="H18">
        <v>351.08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24" x14ac:dyDescent="0.3">
      <c r="A19" s="3"/>
      <c r="B19" s="3" t="s">
        <v>25</v>
      </c>
      <c r="C19" s="1" t="s">
        <v>18</v>
      </c>
      <c r="D19">
        <v>723.18000000000006</v>
      </c>
      <c r="E19">
        <v>749.55500000000006</v>
      </c>
      <c r="F19">
        <v>706.60666666666532</v>
      </c>
      <c r="G19">
        <v>794.47500000000002</v>
      </c>
      <c r="H19">
        <v>753.56666666666672</v>
      </c>
      <c r="I19">
        <v>757.62</v>
      </c>
      <c r="J19">
        <v>702.09</v>
      </c>
      <c r="K19">
        <v>658.73</v>
      </c>
      <c r="L19">
        <v>732.88499999999999</v>
      </c>
      <c r="M19">
        <v>663.96500000000003</v>
      </c>
      <c r="N19">
        <v>757.61333333333403</v>
      </c>
      <c r="O19">
        <v>658.81166666666661</v>
      </c>
    </row>
    <row r="20" spans="1:24" x14ac:dyDescent="0.3">
      <c r="A20" s="3"/>
      <c r="B20" s="3"/>
      <c r="C20" s="1" t="s">
        <v>19</v>
      </c>
      <c r="D20">
        <v>105.94</v>
      </c>
      <c r="E20">
        <v>143.49</v>
      </c>
      <c r="F20">
        <v>84.34</v>
      </c>
      <c r="G20">
        <v>119.68</v>
      </c>
      <c r="H20">
        <v>83.05</v>
      </c>
      <c r="I20">
        <v>109.1</v>
      </c>
      <c r="J20">
        <v>109.71</v>
      </c>
      <c r="K20">
        <v>90.1</v>
      </c>
      <c r="L20">
        <v>125.96</v>
      </c>
      <c r="M20">
        <v>119.1</v>
      </c>
      <c r="N20">
        <v>114.97</v>
      </c>
      <c r="O20">
        <v>75.150000000000006</v>
      </c>
    </row>
    <row r="21" spans="1:24" x14ac:dyDescent="0.3">
      <c r="A21" s="3"/>
      <c r="B21" s="3"/>
      <c r="C21" s="1" t="s">
        <v>20</v>
      </c>
      <c r="D21">
        <v>118.75</v>
      </c>
      <c r="E21">
        <v>92.936666666666667</v>
      </c>
      <c r="F21">
        <v>132.1633333333333</v>
      </c>
      <c r="G21">
        <v>115.11</v>
      </c>
      <c r="H21">
        <v>105.0333333333333</v>
      </c>
      <c r="I21">
        <v>118.08</v>
      </c>
      <c r="J21">
        <v>91.006666666666675</v>
      </c>
      <c r="K21">
        <v>91.38</v>
      </c>
      <c r="L21">
        <v>107.4466666666667</v>
      </c>
      <c r="M21">
        <v>117.3</v>
      </c>
      <c r="N21">
        <v>100.98666666666669</v>
      </c>
      <c r="O21">
        <v>92.483333333333334</v>
      </c>
    </row>
    <row r="22" spans="1:24" x14ac:dyDescent="0.3">
      <c r="A22" s="3"/>
      <c r="B22" s="3"/>
      <c r="C22" s="1" t="s">
        <v>21</v>
      </c>
      <c r="D22">
        <v>250.37</v>
      </c>
      <c r="E22">
        <v>227.72</v>
      </c>
      <c r="F22">
        <v>176.89</v>
      </c>
      <c r="G22">
        <v>195.7349999999999</v>
      </c>
      <c r="H22">
        <v>233.35</v>
      </c>
      <c r="I22">
        <v>252.27</v>
      </c>
      <c r="J22">
        <v>257.16000000000003</v>
      </c>
      <c r="K22">
        <v>234.42</v>
      </c>
      <c r="L22">
        <v>233.2</v>
      </c>
      <c r="M22">
        <v>247.98</v>
      </c>
      <c r="N22">
        <v>301.43</v>
      </c>
      <c r="O22">
        <v>221.45</v>
      </c>
      <c r="T22" t="s">
        <v>17</v>
      </c>
      <c r="U22" t="s">
        <v>22</v>
      </c>
      <c r="V22" t="s">
        <v>23</v>
      </c>
      <c r="W22" t="s">
        <v>35</v>
      </c>
      <c r="X22" t="s">
        <v>25</v>
      </c>
    </row>
    <row r="23" spans="1:24" x14ac:dyDescent="0.3">
      <c r="A23" s="3" t="s">
        <v>26</v>
      </c>
      <c r="B23" s="3" t="s">
        <v>17</v>
      </c>
      <c r="C23" s="1" t="s">
        <v>18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S23" t="s">
        <v>33</v>
      </c>
      <c r="T23" t="s">
        <v>33</v>
      </c>
      <c r="U23">
        <f>SUM(D7:O10)</f>
        <v>4736.5500000000093</v>
      </c>
      <c r="V23">
        <f>SUM(D11:O14)</f>
        <v>0</v>
      </c>
      <c r="W23">
        <f>SUM(D15:O18)</f>
        <v>2589.907066666658</v>
      </c>
      <c r="X23">
        <f>SUM(D19:O22)</f>
        <v>14054.34</v>
      </c>
    </row>
    <row r="24" spans="1:24" x14ac:dyDescent="0.3">
      <c r="A24" s="3"/>
      <c r="B24" s="3"/>
      <c r="C24" s="1" t="s">
        <v>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S24" t="s">
        <v>34</v>
      </c>
      <c r="T24">
        <f>SUM(D23:O26)</f>
        <v>0</v>
      </c>
      <c r="U24">
        <f>SUM(D27:O30)</f>
        <v>572.43539999999064</v>
      </c>
      <c r="V24">
        <f>SUM(D31:O34)</f>
        <v>17434.088333333337</v>
      </c>
      <c r="W24">
        <f>SUM(D35:O38)</f>
        <v>11710.147933333339</v>
      </c>
      <c r="X24">
        <f>SUM(D39:O42)</f>
        <v>86.76166666667001</v>
      </c>
    </row>
    <row r="25" spans="1:24" x14ac:dyDescent="0.3">
      <c r="A25" s="3"/>
      <c r="B25" s="3"/>
      <c r="C25" s="1" t="s">
        <v>20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24" x14ac:dyDescent="0.3">
      <c r="A26" s="3"/>
      <c r="B26" s="3"/>
      <c r="C26" s="1" t="s">
        <v>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24" x14ac:dyDescent="0.3">
      <c r="A27" s="3"/>
      <c r="B27" s="3" t="s">
        <v>22</v>
      </c>
      <c r="C27" s="1" t="s">
        <v>18</v>
      </c>
      <c r="D27">
        <v>0</v>
      </c>
      <c r="E27">
        <v>6.5109999999981767</v>
      </c>
      <c r="F27">
        <v>3.1097999999980739</v>
      </c>
      <c r="G27">
        <v>0</v>
      </c>
      <c r="H27">
        <v>0</v>
      </c>
      <c r="I27">
        <v>131.36000000000001</v>
      </c>
      <c r="J27">
        <v>35.662520741989283</v>
      </c>
      <c r="K27">
        <v>0</v>
      </c>
      <c r="L27">
        <v>0</v>
      </c>
      <c r="M27">
        <v>3.9357999999991482</v>
      </c>
      <c r="N27">
        <v>9.462399999996606</v>
      </c>
      <c r="O27">
        <v>121.495</v>
      </c>
    </row>
    <row r="28" spans="1:24" x14ac:dyDescent="0.3">
      <c r="A28" s="3"/>
      <c r="B28" s="3"/>
      <c r="C28" s="1" t="s">
        <v>19</v>
      </c>
      <c r="D28">
        <v>0</v>
      </c>
      <c r="E28">
        <v>0</v>
      </c>
      <c r="F28">
        <v>0</v>
      </c>
      <c r="G28">
        <v>0</v>
      </c>
      <c r="H28">
        <v>0</v>
      </c>
      <c r="I28">
        <v>33.82</v>
      </c>
      <c r="J28">
        <v>0</v>
      </c>
      <c r="K28">
        <v>5.8842659849520391</v>
      </c>
      <c r="L28">
        <v>0</v>
      </c>
      <c r="M28">
        <v>0</v>
      </c>
      <c r="N28">
        <v>8.76</v>
      </c>
      <c r="O28">
        <v>11.2</v>
      </c>
    </row>
    <row r="29" spans="1:24" x14ac:dyDescent="0.3">
      <c r="A29" s="3"/>
      <c r="B29" s="3"/>
      <c r="C29" s="1" t="s">
        <v>20</v>
      </c>
      <c r="D29">
        <v>3.7962000000007379</v>
      </c>
      <c r="E29">
        <v>0</v>
      </c>
      <c r="F29">
        <v>0</v>
      </c>
      <c r="G29">
        <v>13.59259999999983</v>
      </c>
      <c r="H29">
        <v>9.4209999999974912</v>
      </c>
      <c r="I29">
        <v>67.443200000000047</v>
      </c>
      <c r="J29">
        <v>0</v>
      </c>
      <c r="K29">
        <v>2.6189585717550039</v>
      </c>
      <c r="L29">
        <v>19.40105470130419</v>
      </c>
      <c r="M29">
        <v>0</v>
      </c>
      <c r="N29">
        <v>0</v>
      </c>
      <c r="O29">
        <v>2.981600000000014</v>
      </c>
    </row>
    <row r="30" spans="1:24" x14ac:dyDescent="0.3">
      <c r="A30" s="3"/>
      <c r="B30" s="3"/>
      <c r="C30" s="1" t="s">
        <v>21</v>
      </c>
      <c r="D30">
        <v>0</v>
      </c>
      <c r="E30">
        <v>0</v>
      </c>
      <c r="F30">
        <v>0</v>
      </c>
      <c r="G30">
        <v>0</v>
      </c>
      <c r="H30">
        <v>0</v>
      </c>
      <c r="I30">
        <v>45</v>
      </c>
      <c r="J30">
        <v>36.979999999999997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24" x14ac:dyDescent="0.3">
      <c r="A31" s="3"/>
      <c r="B31" s="3" t="s">
        <v>23</v>
      </c>
      <c r="C31" s="1" t="s">
        <v>18</v>
      </c>
      <c r="D31">
        <v>948.65499999999997</v>
      </c>
      <c r="E31">
        <v>846.495</v>
      </c>
      <c r="F31">
        <v>967.46500000000003</v>
      </c>
      <c r="G31">
        <v>843.56499999999994</v>
      </c>
      <c r="H31">
        <v>901.41499999999996</v>
      </c>
      <c r="I31">
        <v>764.04</v>
      </c>
      <c r="J31">
        <v>712.76499999999999</v>
      </c>
      <c r="K31">
        <v>722.65</v>
      </c>
      <c r="L31">
        <v>874.32500000000005</v>
      </c>
      <c r="M31">
        <v>965.81</v>
      </c>
      <c r="N31">
        <v>852.03</v>
      </c>
      <c r="O31">
        <v>909.66</v>
      </c>
    </row>
    <row r="32" spans="1:24" x14ac:dyDescent="0.3">
      <c r="A32" s="3"/>
      <c r="B32" s="3"/>
      <c r="C32" s="1" t="s">
        <v>19</v>
      </c>
      <c r="D32">
        <v>75.099999999999994</v>
      </c>
      <c r="E32">
        <v>77.8</v>
      </c>
      <c r="F32">
        <v>87.79</v>
      </c>
      <c r="G32">
        <v>74.290000000000006</v>
      </c>
      <c r="H32">
        <v>49.18</v>
      </c>
      <c r="I32">
        <v>67.44</v>
      </c>
      <c r="J32">
        <v>68.510000000000005</v>
      </c>
      <c r="K32">
        <v>120.36</v>
      </c>
      <c r="L32">
        <v>61.5</v>
      </c>
      <c r="M32">
        <v>59.15</v>
      </c>
      <c r="N32">
        <v>82.38</v>
      </c>
      <c r="O32">
        <v>69.849999999999994</v>
      </c>
    </row>
    <row r="33" spans="1:18" x14ac:dyDescent="0.3">
      <c r="A33" s="3"/>
      <c r="B33" s="3"/>
      <c r="C33" s="1" t="s">
        <v>20</v>
      </c>
      <c r="D33">
        <v>142.89333333333329</v>
      </c>
      <c r="E33">
        <v>163.04666666666671</v>
      </c>
      <c r="F33">
        <v>156.6933333333333</v>
      </c>
      <c r="G33">
        <v>141.98666666666671</v>
      </c>
      <c r="H33">
        <v>143.5333333333333</v>
      </c>
      <c r="I33">
        <v>140.58333333333329</v>
      </c>
      <c r="J33">
        <v>138.85</v>
      </c>
      <c r="K33">
        <v>144.7833333333333</v>
      </c>
      <c r="L33">
        <v>121.59</v>
      </c>
      <c r="M33">
        <v>160.63999999999999</v>
      </c>
      <c r="N33">
        <v>153.54666666666671</v>
      </c>
      <c r="O33">
        <v>126.70666666666671</v>
      </c>
    </row>
    <row r="34" spans="1:18" x14ac:dyDescent="0.3">
      <c r="A34" s="3"/>
      <c r="B34" s="3"/>
      <c r="C34" s="1" t="s">
        <v>21</v>
      </c>
      <c r="D34">
        <v>465.83</v>
      </c>
      <c r="E34">
        <v>407.7</v>
      </c>
      <c r="F34">
        <v>344.51</v>
      </c>
      <c r="G34">
        <v>374.29</v>
      </c>
      <c r="H34">
        <v>402.58</v>
      </c>
      <c r="I34">
        <v>327.05</v>
      </c>
      <c r="J34">
        <v>307.33</v>
      </c>
      <c r="K34">
        <v>422.22</v>
      </c>
      <c r="L34">
        <v>304.38</v>
      </c>
      <c r="M34">
        <v>451.8</v>
      </c>
      <c r="N34">
        <v>407.09</v>
      </c>
      <c r="O34">
        <v>282.23</v>
      </c>
    </row>
    <row r="35" spans="1:18" x14ac:dyDescent="0.3">
      <c r="A35" s="3"/>
      <c r="B35" s="3" t="s">
        <v>24</v>
      </c>
      <c r="C35" s="1" t="s">
        <v>18</v>
      </c>
      <c r="D35">
        <v>771.9899999999999</v>
      </c>
      <c r="E35">
        <v>0</v>
      </c>
      <c r="F35">
        <v>812.39843345737347</v>
      </c>
      <c r="G35">
        <v>724.05766666666443</v>
      </c>
      <c r="H35">
        <v>924.48900000000003</v>
      </c>
      <c r="I35">
        <v>786.31</v>
      </c>
      <c r="J35">
        <v>737.44500000000005</v>
      </c>
      <c r="K35">
        <v>784.01</v>
      </c>
      <c r="L35">
        <v>745.57500000000005</v>
      </c>
      <c r="M35">
        <v>623.45000000000005</v>
      </c>
      <c r="N35">
        <v>910.13520000000426</v>
      </c>
      <c r="O35">
        <v>851.67500000000007</v>
      </c>
    </row>
    <row r="36" spans="1:18" x14ac:dyDescent="0.3">
      <c r="A36" s="3"/>
      <c r="B36" s="3"/>
      <c r="C36" s="1" t="s">
        <v>19</v>
      </c>
      <c r="D36">
        <v>0</v>
      </c>
      <c r="E36">
        <v>0</v>
      </c>
      <c r="F36">
        <v>50.38</v>
      </c>
      <c r="G36">
        <v>0</v>
      </c>
      <c r="H36">
        <v>0</v>
      </c>
      <c r="I36">
        <v>23.12</v>
      </c>
      <c r="J36">
        <v>28.5</v>
      </c>
      <c r="K36">
        <v>34.520000000000003</v>
      </c>
      <c r="L36">
        <v>45.96</v>
      </c>
      <c r="M36">
        <v>0</v>
      </c>
      <c r="N36">
        <v>34.07</v>
      </c>
      <c r="O36">
        <v>64.150000000000006</v>
      </c>
    </row>
    <row r="37" spans="1:18" x14ac:dyDescent="0.3">
      <c r="A37" s="3"/>
      <c r="B37" s="3"/>
      <c r="C37" s="1" t="s">
        <v>20</v>
      </c>
      <c r="D37">
        <v>96.49666666666667</v>
      </c>
      <c r="E37">
        <v>60.35</v>
      </c>
      <c r="F37">
        <v>0</v>
      </c>
      <c r="G37">
        <v>81.286666666666662</v>
      </c>
      <c r="H37">
        <v>85.813333333333347</v>
      </c>
      <c r="I37">
        <v>85.303333333333327</v>
      </c>
      <c r="J37">
        <v>85.443333333333342</v>
      </c>
      <c r="K37">
        <v>73.146666666666675</v>
      </c>
      <c r="L37">
        <v>87.240000000000009</v>
      </c>
      <c r="M37">
        <v>77.096666666666678</v>
      </c>
      <c r="N37">
        <v>0</v>
      </c>
      <c r="O37">
        <v>6.85</v>
      </c>
    </row>
    <row r="38" spans="1:18" x14ac:dyDescent="0.3">
      <c r="A38" s="3"/>
      <c r="B38" s="3"/>
      <c r="C38" s="1" t="s">
        <v>21</v>
      </c>
      <c r="D38">
        <v>0</v>
      </c>
      <c r="E38">
        <v>83.235966542631473</v>
      </c>
      <c r="F38">
        <v>0</v>
      </c>
      <c r="G38">
        <v>192.09</v>
      </c>
      <c r="H38">
        <v>0</v>
      </c>
      <c r="I38">
        <v>173.56</v>
      </c>
      <c r="J38">
        <v>242.34</v>
      </c>
      <c r="K38">
        <v>219.07</v>
      </c>
      <c r="L38">
        <v>246.31</v>
      </c>
      <c r="M38">
        <v>227.77</v>
      </c>
      <c r="N38">
        <v>401.11</v>
      </c>
      <c r="O38">
        <v>233.4</v>
      </c>
    </row>
    <row r="39" spans="1:18" x14ac:dyDescent="0.3">
      <c r="A39" s="3"/>
      <c r="B39" s="3" t="s">
        <v>25</v>
      </c>
      <c r="C39" s="1" t="s">
        <v>18</v>
      </c>
      <c r="D39">
        <v>0</v>
      </c>
      <c r="E39">
        <v>0</v>
      </c>
      <c r="F39">
        <v>4.1133333333347082</v>
      </c>
      <c r="G39">
        <v>0</v>
      </c>
      <c r="H39">
        <v>2.168333333335795</v>
      </c>
      <c r="I39">
        <v>0</v>
      </c>
      <c r="J39">
        <v>0</v>
      </c>
      <c r="K39">
        <v>0</v>
      </c>
      <c r="L39">
        <v>0</v>
      </c>
      <c r="M39">
        <v>0</v>
      </c>
      <c r="N39">
        <v>6.2116666666660194</v>
      </c>
      <c r="O39">
        <v>70.803333333333399</v>
      </c>
    </row>
    <row r="40" spans="1:18" x14ac:dyDescent="0.3">
      <c r="A40" s="3"/>
      <c r="B40" s="3"/>
      <c r="C40" s="1" t="s">
        <v>19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8" x14ac:dyDescent="0.3">
      <c r="A41" s="3"/>
      <c r="B41" s="3"/>
      <c r="C41" s="1" t="s">
        <v>20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8" x14ac:dyDescent="0.3">
      <c r="A42" s="3"/>
      <c r="B42" s="3"/>
      <c r="C42" s="1" t="s">
        <v>21</v>
      </c>
      <c r="D42">
        <v>0</v>
      </c>
      <c r="E42">
        <v>0</v>
      </c>
      <c r="F42">
        <v>0</v>
      </c>
      <c r="G42">
        <v>3.4650000000000891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5" spans="1:18" x14ac:dyDescent="0.3">
      <c r="A45" t="s">
        <v>27</v>
      </c>
    </row>
    <row r="46" spans="1:18" x14ac:dyDescent="0.3">
      <c r="A46" s="1" t="s">
        <v>1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10</v>
      </c>
      <c r="J46" s="1" t="s">
        <v>11</v>
      </c>
      <c r="K46" s="1" t="s">
        <v>12</v>
      </c>
      <c r="L46" s="1" t="s">
        <v>13</v>
      </c>
      <c r="M46" s="1" t="s">
        <v>14</v>
      </c>
      <c r="N46" s="1" t="s">
        <v>15</v>
      </c>
      <c r="Q46" s="2" t="s">
        <v>36</v>
      </c>
    </row>
    <row r="47" spans="1:18" x14ac:dyDescent="0.3">
      <c r="A47" s="3" t="s">
        <v>16</v>
      </c>
      <c r="B47" s="1" t="s">
        <v>18</v>
      </c>
      <c r="C47">
        <v>1448.994696969698</v>
      </c>
      <c r="D47">
        <v>1408.907542300208</v>
      </c>
      <c r="E47">
        <v>922.29019393939029</v>
      </c>
      <c r="F47">
        <v>2092.128333333334</v>
      </c>
      <c r="G47">
        <v>533.77697575757702</v>
      </c>
      <c r="H47">
        <v>2173.0508125913439</v>
      </c>
      <c r="I47">
        <v>1199.9475993182859</v>
      </c>
      <c r="J47">
        <v>1298.527400681714</v>
      </c>
      <c r="K47">
        <v>1140.721666666667</v>
      </c>
      <c r="L47">
        <v>1832.184199999999</v>
      </c>
      <c r="M47">
        <v>1710.7857818181831</v>
      </c>
      <c r="N47">
        <v>1202.361618181817</v>
      </c>
      <c r="Q47" t="s">
        <v>18</v>
      </c>
      <c r="R47">
        <f>SUM(C47:N47,C51:N51,C59:N59,C63:N63)</f>
        <v>39170.155000000035</v>
      </c>
    </row>
    <row r="48" spans="1:18" x14ac:dyDescent="0.3">
      <c r="A48" s="3"/>
      <c r="B48" s="1" t="s">
        <v>19</v>
      </c>
      <c r="C48">
        <v>423.87</v>
      </c>
      <c r="D48">
        <v>773.21</v>
      </c>
      <c r="E48">
        <v>0</v>
      </c>
      <c r="F48">
        <v>763.35</v>
      </c>
      <c r="G48">
        <v>0</v>
      </c>
      <c r="H48">
        <v>327.67</v>
      </c>
      <c r="I48">
        <v>1030.105734015048</v>
      </c>
      <c r="J48">
        <v>0</v>
      </c>
      <c r="K48">
        <v>0</v>
      </c>
      <c r="L48">
        <v>932.29</v>
      </c>
      <c r="M48">
        <v>0</v>
      </c>
      <c r="N48">
        <v>0</v>
      </c>
      <c r="Q48" t="s">
        <v>19</v>
      </c>
      <c r="R48">
        <f>SUM(C48:N48,C52:N52)</f>
        <v>5484.21</v>
      </c>
    </row>
    <row r="49" spans="1:18" x14ac:dyDescent="0.3">
      <c r="A49" s="3"/>
      <c r="B49" s="1" t="s">
        <v>20</v>
      </c>
      <c r="C49">
        <v>672.35863636363547</v>
      </c>
      <c r="D49">
        <v>618.75175757575755</v>
      </c>
      <c r="E49">
        <v>1818.5831393939429</v>
      </c>
      <c r="F49">
        <v>0</v>
      </c>
      <c r="G49">
        <v>1376.3963575757571</v>
      </c>
      <c r="H49">
        <v>66.42405454545451</v>
      </c>
      <c r="I49">
        <v>0</v>
      </c>
      <c r="J49">
        <v>1186.5843988481529</v>
      </c>
      <c r="K49">
        <v>0</v>
      </c>
      <c r="L49">
        <v>670.83352727272722</v>
      </c>
      <c r="M49">
        <v>1423.7648242424241</v>
      </c>
      <c r="N49">
        <v>0</v>
      </c>
      <c r="Q49" t="s">
        <v>20</v>
      </c>
      <c r="R49">
        <f>SUM(C49:N49,C53:N53)</f>
        <v>10426.831309090911</v>
      </c>
    </row>
    <row r="50" spans="1:18" x14ac:dyDescent="0.3">
      <c r="A50" s="3"/>
      <c r="B50" s="1" t="s">
        <v>21</v>
      </c>
      <c r="C50">
        <v>905.36</v>
      </c>
      <c r="D50">
        <v>649.71403345736849</v>
      </c>
      <c r="E50">
        <v>709.71</v>
      </c>
      <c r="F50">
        <v>595.1049999999999</v>
      </c>
      <c r="G50">
        <v>1540.41</v>
      </c>
      <c r="H50">
        <v>0</v>
      </c>
      <c r="I50">
        <v>1220.53</v>
      </c>
      <c r="J50">
        <v>0</v>
      </c>
      <c r="K50">
        <v>2309.8616666666671</v>
      </c>
      <c r="L50">
        <v>15.27560606060706</v>
      </c>
      <c r="M50">
        <v>316.03272727272611</v>
      </c>
      <c r="N50">
        <v>0</v>
      </c>
      <c r="Q50" t="s">
        <v>21</v>
      </c>
      <c r="R50">
        <f>SUM(C50:N50,C54:N54)</f>
        <v>14863.34</v>
      </c>
    </row>
    <row r="51" spans="1:18" x14ac:dyDescent="0.3">
      <c r="A51" s="3" t="s">
        <v>26</v>
      </c>
      <c r="B51" s="1" t="s">
        <v>18</v>
      </c>
      <c r="C51">
        <v>1314.7171333333331</v>
      </c>
      <c r="D51">
        <v>1168.5307001240351</v>
      </c>
      <c r="E51">
        <v>618.18973333333611</v>
      </c>
      <c r="F51">
        <v>1405.518333333333</v>
      </c>
      <c r="G51">
        <v>1150.643333333333</v>
      </c>
      <c r="H51">
        <v>1960.6368</v>
      </c>
      <c r="I51">
        <v>505.65906734838131</v>
      </c>
      <c r="J51">
        <v>1650.053320060274</v>
      </c>
      <c r="K51">
        <v>498.72666666666692</v>
      </c>
      <c r="L51">
        <v>1173.4291333333319</v>
      </c>
      <c r="M51">
        <v>1358.0726</v>
      </c>
      <c r="N51">
        <v>1953.633333333333</v>
      </c>
    </row>
    <row r="52" spans="1:18" x14ac:dyDescent="0.3">
      <c r="A52" s="3"/>
      <c r="B52" s="1" t="s">
        <v>19</v>
      </c>
      <c r="C52">
        <v>75.099999999999994</v>
      </c>
      <c r="D52">
        <v>215.97</v>
      </c>
      <c r="E52">
        <v>0</v>
      </c>
      <c r="F52">
        <v>123.47</v>
      </c>
      <c r="G52">
        <v>0</v>
      </c>
      <c r="H52">
        <v>124.38</v>
      </c>
      <c r="I52">
        <v>365.23426598495212</v>
      </c>
      <c r="J52">
        <v>0</v>
      </c>
      <c r="K52">
        <v>0</v>
      </c>
      <c r="L52">
        <v>184.36</v>
      </c>
      <c r="M52">
        <v>0</v>
      </c>
      <c r="N52">
        <v>145.19999999999999</v>
      </c>
    </row>
    <row r="53" spans="1:18" x14ac:dyDescent="0.3">
      <c r="A53" s="3"/>
      <c r="B53" s="1" t="s">
        <v>20</v>
      </c>
      <c r="C53">
        <v>243.18620000000081</v>
      </c>
      <c r="D53">
        <v>223.39666666666659</v>
      </c>
      <c r="E53">
        <v>1136.1335999999969</v>
      </c>
      <c r="F53">
        <v>0</v>
      </c>
      <c r="G53">
        <v>0</v>
      </c>
      <c r="H53">
        <v>13.81653333333329</v>
      </c>
      <c r="I53">
        <v>0</v>
      </c>
      <c r="J53">
        <v>448.78001327305918</v>
      </c>
      <c r="K53">
        <v>0</v>
      </c>
      <c r="L53">
        <v>237.73666666666671</v>
      </c>
      <c r="M53">
        <v>290.0849333333332</v>
      </c>
      <c r="N53">
        <v>0</v>
      </c>
    </row>
    <row r="54" spans="1:18" x14ac:dyDescent="0.3">
      <c r="A54" s="3"/>
      <c r="B54" s="1" t="s">
        <v>21</v>
      </c>
      <c r="C54">
        <v>465.83</v>
      </c>
      <c r="D54">
        <v>490.93596654263149</v>
      </c>
      <c r="E54">
        <v>344.51</v>
      </c>
      <c r="F54">
        <v>569.84500000000003</v>
      </c>
      <c r="G54">
        <v>948.19</v>
      </c>
      <c r="H54">
        <v>0</v>
      </c>
      <c r="I54">
        <v>1227.94</v>
      </c>
      <c r="J54">
        <v>0</v>
      </c>
      <c r="K54">
        <v>1600.106666666667</v>
      </c>
      <c r="L54">
        <v>503.30753333333291</v>
      </c>
      <c r="M54">
        <v>450.67580000000032</v>
      </c>
      <c r="N54">
        <v>0</v>
      </c>
    </row>
    <row r="57" spans="1:18" x14ac:dyDescent="0.3">
      <c r="A57" t="s">
        <v>28</v>
      </c>
    </row>
    <row r="58" spans="1:18" x14ac:dyDescent="0.3">
      <c r="A58" s="1" t="s">
        <v>1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  <c r="J58" s="1" t="s">
        <v>11</v>
      </c>
      <c r="K58" s="1" t="s">
        <v>12</v>
      </c>
      <c r="L58" s="1" t="s">
        <v>13</v>
      </c>
      <c r="M58" s="1" t="s">
        <v>14</v>
      </c>
      <c r="N58" s="1" t="s">
        <v>15</v>
      </c>
    </row>
    <row r="59" spans="1:18" x14ac:dyDescent="0.3">
      <c r="A59" s="3" t="s">
        <v>16</v>
      </c>
      <c r="B59" s="1" t="s">
        <v>18</v>
      </c>
      <c r="C59">
        <v>690.11666666666667</v>
      </c>
      <c r="D59">
        <v>690.11666666666667</v>
      </c>
      <c r="E59">
        <v>690.11666666666667</v>
      </c>
      <c r="F59">
        <v>70.768024242422598</v>
      </c>
      <c r="G59">
        <v>690.11666666666667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8" x14ac:dyDescent="0.3">
      <c r="A60" s="3"/>
      <c r="B60" s="1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8" x14ac:dyDescent="0.3">
      <c r="A61" s="3"/>
      <c r="B61" s="1" t="s">
        <v>20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8" x14ac:dyDescent="0.3">
      <c r="A62" s="3"/>
      <c r="B62" s="1" t="s">
        <v>21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8" x14ac:dyDescent="0.3">
      <c r="A63" s="3" t="s">
        <v>26</v>
      </c>
      <c r="B63" s="1" t="s">
        <v>18</v>
      </c>
      <c r="C63">
        <v>419.76666666666671</v>
      </c>
      <c r="D63">
        <v>419.76666666666671</v>
      </c>
      <c r="E63">
        <v>419.76666666666671</v>
      </c>
      <c r="F63">
        <v>419.76666666666671</v>
      </c>
      <c r="G63">
        <v>419.76666666666671</v>
      </c>
      <c r="H63">
        <v>419.76666666666671</v>
      </c>
      <c r="I63">
        <v>419.76666666666671</v>
      </c>
      <c r="J63">
        <v>419.76666666666671</v>
      </c>
      <c r="K63">
        <v>419.76666666666671</v>
      </c>
      <c r="L63">
        <v>419.76666666666671</v>
      </c>
      <c r="M63">
        <v>419.76666666666671</v>
      </c>
      <c r="N63">
        <v>0</v>
      </c>
    </row>
    <row r="64" spans="1:18" x14ac:dyDescent="0.3">
      <c r="A64" s="3"/>
      <c r="B64" s="1" t="s">
        <v>19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20" x14ac:dyDescent="0.3">
      <c r="A65" s="3"/>
      <c r="B65" s="1" t="s">
        <v>20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20" x14ac:dyDescent="0.3">
      <c r="A66" s="3"/>
      <c r="B66" s="1" t="s">
        <v>21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8" spans="1:20" x14ac:dyDescent="0.3">
      <c r="S68" t="s">
        <v>33</v>
      </c>
      <c r="T68" t="s">
        <v>34</v>
      </c>
    </row>
    <row r="69" spans="1:20" x14ac:dyDescent="0.3">
      <c r="A69" t="s">
        <v>29</v>
      </c>
      <c r="R69" s="1" t="s">
        <v>4</v>
      </c>
      <c r="S69">
        <f>SUM(C71:C74)</f>
        <v>476.42136363636439</v>
      </c>
      <c r="T69">
        <f>SUM(C75:C78)</f>
        <v>13.838799999999649</v>
      </c>
    </row>
    <row r="70" spans="1:20" x14ac:dyDescent="0.3">
      <c r="A70" s="1" t="s">
        <v>1</v>
      </c>
      <c r="B70" s="1" t="s">
        <v>3</v>
      </c>
      <c r="C70" s="1" t="s">
        <v>4</v>
      </c>
      <c r="D70" s="1" t="s">
        <v>5</v>
      </c>
      <c r="E70" s="1" t="s">
        <v>6</v>
      </c>
      <c r="F70" s="1" t="s">
        <v>7</v>
      </c>
      <c r="G70" s="1" t="s">
        <v>8</v>
      </c>
      <c r="H70" s="1" t="s">
        <v>9</v>
      </c>
      <c r="I70" s="1" t="s">
        <v>10</v>
      </c>
      <c r="J70" s="1" t="s">
        <v>11</v>
      </c>
      <c r="K70" s="1" t="s">
        <v>12</v>
      </c>
      <c r="L70" s="1" t="s">
        <v>13</v>
      </c>
      <c r="M70" s="1" t="s">
        <v>14</v>
      </c>
      <c r="N70" s="1" t="s">
        <v>15</v>
      </c>
      <c r="R70" s="1" t="s">
        <v>5</v>
      </c>
      <c r="S70">
        <f>SUM(D71:D74)</f>
        <v>469.35157260323672</v>
      </c>
      <c r="T70">
        <f>SUM(D75:D78)</f>
        <v>887.30016679070343</v>
      </c>
    </row>
    <row r="71" spans="1:20" x14ac:dyDescent="0.3">
      <c r="A71" s="3" t="s">
        <v>16</v>
      </c>
      <c r="B71" s="1" t="s">
        <v>18</v>
      </c>
      <c r="C71">
        <v>476.42136363636439</v>
      </c>
      <c r="D71">
        <v>131.77157260323671</v>
      </c>
      <c r="E71">
        <v>0</v>
      </c>
      <c r="F71">
        <v>342.66402424242051</v>
      </c>
      <c r="G71">
        <v>0</v>
      </c>
      <c r="H71">
        <v>716.21581259134382</v>
      </c>
      <c r="I71">
        <v>475.03593265161891</v>
      </c>
      <c r="J71">
        <v>335.46333333333308</v>
      </c>
      <c r="K71">
        <v>0</v>
      </c>
      <c r="L71">
        <v>0</v>
      </c>
      <c r="M71">
        <v>89.410048484849881</v>
      </c>
      <c r="N71">
        <v>0</v>
      </c>
      <c r="R71" s="1" t="s">
        <v>6</v>
      </c>
      <c r="S71">
        <f>SUM(E71:E74)</f>
        <v>1059.47500606061</v>
      </c>
      <c r="T71">
        <f>SUM(E75:E78)</f>
        <v>979.44026666666412</v>
      </c>
    </row>
    <row r="72" spans="1:20" x14ac:dyDescent="0.3">
      <c r="A72" s="3"/>
      <c r="B72" s="1" t="s">
        <v>19</v>
      </c>
      <c r="C72">
        <v>0</v>
      </c>
      <c r="D72">
        <v>337.58</v>
      </c>
      <c r="E72">
        <v>0</v>
      </c>
      <c r="F72">
        <v>362.01</v>
      </c>
      <c r="G72">
        <v>0</v>
      </c>
      <c r="H72">
        <v>0</v>
      </c>
      <c r="I72">
        <v>662.95573401504794</v>
      </c>
      <c r="J72">
        <v>341.83</v>
      </c>
      <c r="K72">
        <v>0</v>
      </c>
      <c r="L72">
        <v>575.31999999999994</v>
      </c>
      <c r="M72">
        <v>245.79</v>
      </c>
      <c r="N72">
        <v>0</v>
      </c>
      <c r="R72" s="1" t="s">
        <v>7</v>
      </c>
      <c r="S72">
        <f>SUM(F71:F74)</f>
        <v>1097.4794848484846</v>
      </c>
      <c r="T72">
        <f>SUM(F75:F78)</f>
        <v>1049.4166666666667</v>
      </c>
    </row>
    <row r="73" spans="1:20" x14ac:dyDescent="0.3">
      <c r="A73" s="3"/>
      <c r="B73" s="1" t="s">
        <v>20</v>
      </c>
      <c r="C73">
        <v>0</v>
      </c>
      <c r="D73">
        <v>0</v>
      </c>
      <c r="E73">
        <v>1059.47500606061</v>
      </c>
      <c r="F73">
        <v>392.80546060606412</v>
      </c>
      <c r="G73">
        <v>1127.9416666666671</v>
      </c>
      <c r="H73">
        <v>611.1729939393939</v>
      </c>
      <c r="I73">
        <v>0</v>
      </c>
      <c r="J73">
        <v>608.95408469263521</v>
      </c>
      <c r="K73">
        <v>0</v>
      </c>
      <c r="L73">
        <v>0</v>
      </c>
      <c r="M73">
        <v>646.24333333333345</v>
      </c>
      <c r="N73">
        <v>0</v>
      </c>
      <c r="R73" s="1" t="s">
        <v>8</v>
      </c>
      <c r="S73">
        <f>SUM(G71:G74)</f>
        <v>1725.291666666667</v>
      </c>
      <c r="T73">
        <f>SUM(G75:G78)</f>
        <v>1049.4166666666667</v>
      </c>
    </row>
    <row r="74" spans="1:20" x14ac:dyDescent="0.3">
      <c r="A74" s="3"/>
      <c r="B74" s="1" t="s">
        <v>21</v>
      </c>
      <c r="C74">
        <v>0</v>
      </c>
      <c r="D74">
        <v>0</v>
      </c>
      <c r="E74">
        <v>0</v>
      </c>
      <c r="F74">
        <v>0</v>
      </c>
      <c r="G74">
        <v>597.35</v>
      </c>
      <c r="H74">
        <v>0</v>
      </c>
      <c r="I74">
        <v>587.29999999999995</v>
      </c>
      <c r="J74">
        <v>0</v>
      </c>
      <c r="K74">
        <v>1725.291666666667</v>
      </c>
      <c r="L74">
        <v>1004.977272727274</v>
      </c>
      <c r="M74">
        <v>620.78</v>
      </c>
      <c r="N74">
        <v>0</v>
      </c>
      <c r="R74" s="1" t="s">
        <v>9</v>
      </c>
      <c r="S74">
        <f>SUM(H71:H74)</f>
        <v>1327.3888065307378</v>
      </c>
      <c r="T74">
        <f>SUM(H75:H78)</f>
        <v>922.98680000000024</v>
      </c>
    </row>
    <row r="75" spans="1:20" x14ac:dyDescent="0.3">
      <c r="A75" s="3" t="s">
        <v>26</v>
      </c>
      <c r="B75" s="1" t="s">
        <v>18</v>
      </c>
      <c r="C75">
        <v>13.838799999999649</v>
      </c>
      <c r="D75">
        <v>749.13016679070347</v>
      </c>
      <c r="E75">
        <v>0</v>
      </c>
      <c r="F75">
        <v>257.66233333333582</v>
      </c>
      <c r="G75">
        <v>0</v>
      </c>
      <c r="H75">
        <v>698.69346666666684</v>
      </c>
      <c r="I75">
        <v>138.24667993972551</v>
      </c>
      <c r="J75">
        <v>701.40666666666652</v>
      </c>
      <c r="K75">
        <v>0</v>
      </c>
      <c r="L75">
        <v>0</v>
      </c>
      <c r="M75">
        <v>0</v>
      </c>
      <c r="N75">
        <v>0</v>
      </c>
      <c r="R75" s="1" t="s">
        <v>10</v>
      </c>
      <c r="S75">
        <f>SUM(I71:I74)</f>
        <v>1725.2916666666667</v>
      </c>
      <c r="T75">
        <f>SUM(I75:I78)</f>
        <v>1047.7609459246776</v>
      </c>
    </row>
    <row r="76" spans="1:20" x14ac:dyDescent="0.3">
      <c r="A76" s="3"/>
      <c r="B76" s="1" t="s">
        <v>19</v>
      </c>
      <c r="C76">
        <v>0</v>
      </c>
      <c r="D76">
        <v>138.16999999999999</v>
      </c>
      <c r="E76">
        <v>0</v>
      </c>
      <c r="F76">
        <v>49.18</v>
      </c>
      <c r="G76">
        <v>0</v>
      </c>
      <c r="H76">
        <v>0</v>
      </c>
      <c r="I76">
        <v>268.22426598495213</v>
      </c>
      <c r="J76">
        <v>107.46</v>
      </c>
      <c r="K76">
        <v>0</v>
      </c>
      <c r="L76">
        <v>125.21</v>
      </c>
      <c r="M76">
        <v>0</v>
      </c>
      <c r="N76">
        <v>0</v>
      </c>
      <c r="R76" s="1" t="s">
        <v>11</v>
      </c>
      <c r="S76">
        <f>SUM(J71:J74)</f>
        <v>1286.2474180259683</v>
      </c>
      <c r="T76">
        <f>SUM(J75:J78)</f>
        <v>1037.0977213679707</v>
      </c>
    </row>
    <row r="77" spans="1:20" x14ac:dyDescent="0.3">
      <c r="A77" s="3"/>
      <c r="B77" s="1" t="s">
        <v>20</v>
      </c>
      <c r="C77">
        <v>0</v>
      </c>
      <c r="D77">
        <v>0</v>
      </c>
      <c r="E77">
        <v>979.44026666666412</v>
      </c>
      <c r="F77">
        <v>742.57433333333097</v>
      </c>
      <c r="G77">
        <v>503.80666666666667</v>
      </c>
      <c r="H77">
        <v>224.29333333333341</v>
      </c>
      <c r="I77">
        <v>0</v>
      </c>
      <c r="J77">
        <v>228.2310547013042</v>
      </c>
      <c r="K77">
        <v>0</v>
      </c>
      <c r="L77">
        <v>0</v>
      </c>
      <c r="M77">
        <v>136.53826666666649</v>
      </c>
      <c r="N77">
        <v>0</v>
      </c>
      <c r="R77" s="1" t="s">
        <v>12</v>
      </c>
      <c r="S77">
        <f>SUM(K71:K74)</f>
        <v>1725.291666666667</v>
      </c>
      <c r="T77">
        <f>SUM(K75:K78)</f>
        <v>1049.416666666667</v>
      </c>
    </row>
    <row r="78" spans="1:20" x14ac:dyDescent="0.3">
      <c r="A78" s="3"/>
      <c r="B78" s="1" t="s">
        <v>21</v>
      </c>
      <c r="C78">
        <v>0</v>
      </c>
      <c r="D78">
        <v>0</v>
      </c>
      <c r="E78">
        <v>0</v>
      </c>
      <c r="F78">
        <v>0</v>
      </c>
      <c r="G78">
        <v>545.61</v>
      </c>
      <c r="H78">
        <v>0</v>
      </c>
      <c r="I78">
        <v>641.29</v>
      </c>
      <c r="J78">
        <v>0</v>
      </c>
      <c r="K78">
        <v>1049.416666666667</v>
      </c>
      <c r="L78">
        <v>873.15419999999972</v>
      </c>
      <c r="M78">
        <v>515.63</v>
      </c>
      <c r="N78">
        <v>0</v>
      </c>
      <c r="R78" s="1" t="s">
        <v>13</v>
      </c>
      <c r="S78">
        <f>SUM(L71:L74)</f>
        <v>1580.297272727274</v>
      </c>
      <c r="T78">
        <f>SUM(L75:L78)</f>
        <v>998.36419999999976</v>
      </c>
    </row>
    <row r="79" spans="1:20" x14ac:dyDescent="0.3">
      <c r="R79" s="1" t="s">
        <v>14</v>
      </c>
      <c r="S79">
        <f>SUM(M71:M74)</f>
        <v>1602.2233818181833</v>
      </c>
      <c r="T79">
        <f>SUM(M75:M78)</f>
        <v>652.16826666666645</v>
      </c>
    </row>
    <row r="80" spans="1:20" x14ac:dyDescent="0.3">
      <c r="R80" s="1" t="s">
        <v>15</v>
      </c>
      <c r="S80">
        <f>SUM(N71:N74)</f>
        <v>0</v>
      </c>
      <c r="T80">
        <f>SUM(N75:N78)</f>
        <v>0</v>
      </c>
    </row>
    <row r="81" spans="1:19" x14ac:dyDescent="0.3">
      <c r="A81" t="s">
        <v>30</v>
      </c>
    </row>
    <row r="82" spans="1:19" x14ac:dyDescent="0.3">
      <c r="A82" s="1" t="s">
        <v>1</v>
      </c>
      <c r="B82" s="1" t="s">
        <v>2</v>
      </c>
      <c r="C82" s="1" t="s">
        <v>4</v>
      </c>
      <c r="D82" s="1" t="s">
        <v>5</v>
      </c>
      <c r="E82" s="1" t="s">
        <v>6</v>
      </c>
      <c r="F82" s="1" t="s">
        <v>7</v>
      </c>
      <c r="G82" s="1" t="s">
        <v>8</v>
      </c>
      <c r="H82" s="1" t="s">
        <v>9</v>
      </c>
      <c r="I82" s="1" t="s">
        <v>10</v>
      </c>
      <c r="J82" s="1" t="s">
        <v>11</v>
      </c>
      <c r="K82" s="1" t="s">
        <v>12</v>
      </c>
      <c r="L82" s="1" t="s">
        <v>13</v>
      </c>
      <c r="M82" s="1" t="s">
        <v>14</v>
      </c>
      <c r="N82" s="1" t="s">
        <v>15</v>
      </c>
    </row>
    <row r="83" spans="1:19" x14ac:dyDescent="0.3">
      <c r="A83" s="3" t="s">
        <v>16</v>
      </c>
      <c r="B83" s="1" t="s">
        <v>17</v>
      </c>
      <c r="C83">
        <v>69</v>
      </c>
      <c r="D83">
        <v>61</v>
      </c>
      <c r="E83">
        <v>66</v>
      </c>
      <c r="F83">
        <v>69</v>
      </c>
      <c r="G83">
        <v>60</v>
      </c>
      <c r="H83">
        <v>62</v>
      </c>
      <c r="I83">
        <v>63</v>
      </c>
      <c r="J83">
        <v>58</v>
      </c>
      <c r="K83">
        <v>57</v>
      </c>
      <c r="L83">
        <v>72</v>
      </c>
      <c r="M83">
        <v>62</v>
      </c>
      <c r="N83">
        <v>57</v>
      </c>
      <c r="O83" t="s">
        <v>37</v>
      </c>
      <c r="P83">
        <f>SUM(C83:N83)</f>
        <v>756</v>
      </c>
    </row>
    <row r="84" spans="1:19" x14ac:dyDescent="0.3">
      <c r="A84" s="3"/>
      <c r="B84" s="1" t="s">
        <v>22</v>
      </c>
      <c r="C84">
        <v>19</v>
      </c>
      <c r="D84">
        <v>16</v>
      </c>
      <c r="E84">
        <v>18</v>
      </c>
      <c r="F84">
        <v>18</v>
      </c>
      <c r="G84">
        <v>18</v>
      </c>
      <c r="H84">
        <v>8</v>
      </c>
      <c r="I84">
        <v>14</v>
      </c>
      <c r="J84">
        <v>17</v>
      </c>
      <c r="K84">
        <v>16</v>
      </c>
      <c r="L84">
        <v>17</v>
      </c>
      <c r="M84">
        <v>18</v>
      </c>
      <c r="N84">
        <v>12</v>
      </c>
      <c r="P84">
        <f t="shared" ref="P84:P91" si="0">SUM(C84:N84)</f>
        <v>191</v>
      </c>
    </row>
    <row r="85" spans="1:19" x14ac:dyDescent="0.3">
      <c r="A85" s="3"/>
      <c r="B85" s="1" t="s">
        <v>23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f t="shared" si="0"/>
        <v>0</v>
      </c>
      <c r="R85" t="s">
        <v>33</v>
      </c>
      <c r="S85" t="s">
        <v>34</v>
      </c>
    </row>
    <row r="86" spans="1:19" x14ac:dyDescent="0.3">
      <c r="A86" s="3"/>
      <c r="B86" s="1" t="s">
        <v>24</v>
      </c>
      <c r="C86">
        <v>11</v>
      </c>
      <c r="D86">
        <v>41</v>
      </c>
      <c r="E86">
        <v>15</v>
      </c>
      <c r="F86">
        <v>4</v>
      </c>
      <c r="G86">
        <v>16</v>
      </c>
      <c r="H86">
        <v>0</v>
      </c>
      <c r="I86">
        <v>0</v>
      </c>
      <c r="J86">
        <v>0</v>
      </c>
      <c r="K86">
        <v>0</v>
      </c>
      <c r="L86">
        <v>9</v>
      </c>
      <c r="M86">
        <v>7</v>
      </c>
      <c r="N86">
        <v>2</v>
      </c>
      <c r="P86">
        <f t="shared" si="0"/>
        <v>105</v>
      </c>
      <c r="Q86" s="1" t="s">
        <v>17</v>
      </c>
      <c r="R86">
        <v>756</v>
      </c>
      <c r="S86">
        <v>0</v>
      </c>
    </row>
    <row r="87" spans="1:19" x14ac:dyDescent="0.3">
      <c r="A87" s="3"/>
      <c r="B87" s="1" t="s">
        <v>25</v>
      </c>
      <c r="C87">
        <v>48</v>
      </c>
      <c r="D87">
        <v>49</v>
      </c>
      <c r="E87">
        <v>44</v>
      </c>
      <c r="F87">
        <v>49</v>
      </c>
      <c r="G87">
        <v>47</v>
      </c>
      <c r="H87">
        <v>50</v>
      </c>
      <c r="I87">
        <v>47</v>
      </c>
      <c r="J87">
        <v>43</v>
      </c>
      <c r="K87">
        <v>48</v>
      </c>
      <c r="L87">
        <v>46</v>
      </c>
      <c r="M87">
        <v>51</v>
      </c>
      <c r="N87">
        <v>42</v>
      </c>
      <c r="P87">
        <f t="shared" si="0"/>
        <v>564</v>
      </c>
      <c r="Q87" s="1" t="s">
        <v>22</v>
      </c>
      <c r="R87">
        <v>191</v>
      </c>
      <c r="S87">
        <v>30</v>
      </c>
    </row>
    <row r="88" spans="1:19" x14ac:dyDescent="0.3">
      <c r="A88" s="3" t="s">
        <v>26</v>
      </c>
      <c r="B88" s="1" t="s">
        <v>17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f t="shared" si="0"/>
        <v>0</v>
      </c>
      <c r="Q88" s="1" t="s">
        <v>23</v>
      </c>
      <c r="R88">
        <v>0</v>
      </c>
      <c r="S88">
        <v>703</v>
      </c>
    </row>
    <row r="89" spans="1:19" x14ac:dyDescent="0.3">
      <c r="A89" s="3"/>
      <c r="B89" s="1" t="s">
        <v>22</v>
      </c>
      <c r="C89">
        <v>1</v>
      </c>
      <c r="D89">
        <v>1</v>
      </c>
      <c r="E89">
        <v>1</v>
      </c>
      <c r="F89">
        <v>1</v>
      </c>
      <c r="G89">
        <v>1</v>
      </c>
      <c r="H89">
        <v>12</v>
      </c>
      <c r="I89">
        <v>3</v>
      </c>
      <c r="J89">
        <v>1</v>
      </c>
      <c r="K89">
        <v>1</v>
      </c>
      <c r="L89">
        <v>1</v>
      </c>
      <c r="M89">
        <v>1</v>
      </c>
      <c r="N89">
        <v>6</v>
      </c>
      <c r="P89">
        <f t="shared" si="0"/>
        <v>30</v>
      </c>
      <c r="Q89" s="1" t="s">
        <v>24</v>
      </c>
      <c r="R89">
        <v>105</v>
      </c>
      <c r="S89">
        <v>474</v>
      </c>
    </row>
    <row r="90" spans="1:19" x14ac:dyDescent="0.3">
      <c r="A90" s="3"/>
      <c r="B90" s="1" t="s">
        <v>23</v>
      </c>
      <c r="C90">
        <v>66</v>
      </c>
      <c r="D90">
        <v>60</v>
      </c>
      <c r="E90">
        <v>63</v>
      </c>
      <c r="F90">
        <v>58</v>
      </c>
      <c r="G90">
        <v>60</v>
      </c>
      <c r="H90">
        <v>52</v>
      </c>
      <c r="I90">
        <v>50</v>
      </c>
      <c r="J90">
        <v>57</v>
      </c>
      <c r="K90">
        <v>55</v>
      </c>
      <c r="L90">
        <v>66</v>
      </c>
      <c r="M90">
        <v>60</v>
      </c>
      <c r="N90">
        <v>56</v>
      </c>
      <c r="P90">
        <f t="shared" si="0"/>
        <v>703</v>
      </c>
      <c r="Q90" s="1" t="s">
        <v>25</v>
      </c>
      <c r="R90">
        <v>564</v>
      </c>
      <c r="S90">
        <v>7</v>
      </c>
    </row>
    <row r="91" spans="1:19" x14ac:dyDescent="0.3">
      <c r="A91" s="3"/>
      <c r="B91" s="1" t="s">
        <v>24</v>
      </c>
      <c r="C91">
        <v>35</v>
      </c>
      <c r="D91">
        <v>6</v>
      </c>
      <c r="E91">
        <v>35</v>
      </c>
      <c r="F91">
        <v>40</v>
      </c>
      <c r="G91">
        <v>41</v>
      </c>
      <c r="H91">
        <v>43</v>
      </c>
      <c r="I91">
        <v>44</v>
      </c>
      <c r="J91">
        <v>45</v>
      </c>
      <c r="K91">
        <v>46</v>
      </c>
      <c r="L91">
        <v>38</v>
      </c>
      <c r="M91">
        <v>54</v>
      </c>
      <c r="N91">
        <v>47</v>
      </c>
      <c r="P91">
        <f t="shared" si="0"/>
        <v>474</v>
      </c>
    </row>
    <row r="92" spans="1:19" x14ac:dyDescent="0.3">
      <c r="A92" s="3"/>
      <c r="B92" s="1" t="s">
        <v>25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3</v>
      </c>
      <c r="P92">
        <f>SUM(C92:N92)</f>
        <v>7</v>
      </c>
    </row>
  </sheetData>
  <mergeCells count="20">
    <mergeCell ref="A3:A22"/>
    <mergeCell ref="B3:B6"/>
    <mergeCell ref="B7:B10"/>
    <mergeCell ref="B11:B14"/>
    <mergeCell ref="B15:B18"/>
    <mergeCell ref="B19:B22"/>
    <mergeCell ref="A23:A42"/>
    <mergeCell ref="B23:B26"/>
    <mergeCell ref="B27:B30"/>
    <mergeCell ref="B31:B34"/>
    <mergeCell ref="B35:B38"/>
    <mergeCell ref="B39:B42"/>
    <mergeCell ref="A83:A87"/>
    <mergeCell ref="A88:A92"/>
    <mergeCell ref="A47:A50"/>
    <mergeCell ref="A51:A54"/>
    <mergeCell ref="A59:A62"/>
    <mergeCell ref="A63:A66"/>
    <mergeCell ref="A71:A74"/>
    <mergeCell ref="A75:A78"/>
  </mergeCells>
  <conditionalFormatting sqref="T24:X24 U23:X23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</vt:lpstr>
      <vt:lpstr>Resultados-Análisis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Santos</cp:lastModifiedBy>
  <dcterms:created xsi:type="dcterms:W3CDTF">2026-01-22T12:52:34Z</dcterms:created>
  <dcterms:modified xsi:type="dcterms:W3CDTF">2026-01-25T10:16:10Z</dcterms:modified>
</cp:coreProperties>
</file>