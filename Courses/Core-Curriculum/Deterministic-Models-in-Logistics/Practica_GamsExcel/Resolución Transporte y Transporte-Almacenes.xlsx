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i/Desktop/MASTER/MODELOS LOGISTICOS/"/>
    </mc:Choice>
  </mc:AlternateContent>
  <xr:revisionPtr revIDLastSave="0" documentId="13_ncr:1_{7780A67C-C77E-BD47-AB65-9C7DC49BBAA6}" xr6:coauthVersionLast="36" xr6:coauthVersionMax="36" xr10:uidLastSave="{00000000-0000-0000-0000-000000000000}"/>
  <bookViews>
    <workbookView xWindow="1320" yWindow="500" windowWidth="28040" windowHeight="16020" activeTab="2" xr2:uid="{FF99CD35-5F03-D64E-B8C5-7265AE9D7D00}"/>
  </bookViews>
  <sheets>
    <sheet name="Sensibilidad Transpote" sheetId="2" r:id="rId1"/>
    <sheet name="Transporte" sheetId="1" r:id="rId2"/>
    <sheet name="Transporte-Almacen" sheetId="4" r:id="rId3"/>
  </sheets>
  <definedNames>
    <definedName name="solver_adj" localSheetId="1" hidden="1">Transporte!$C$18:$C$23</definedName>
    <definedName name="solver_adj" localSheetId="2" hidden="1">'Transporte-Almacen'!$C$18:$E$20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itr" localSheetId="1" hidden="1">2147483647</definedName>
    <definedName name="solver_itr" localSheetId="2" hidden="1">2147483647</definedName>
    <definedName name="solver_lhs1" localSheetId="1" hidden="1">Transporte!$B$10</definedName>
    <definedName name="solver_lhs1" localSheetId="2" hidden="1">'Transporte-Almacen'!$B$10</definedName>
    <definedName name="solver_lhs2" localSheetId="1" hidden="1">Transporte!$B$13</definedName>
    <definedName name="solver_lhs2" localSheetId="2" hidden="1">'Transporte-Almacen'!$B$13</definedName>
    <definedName name="solver_lhs3" localSheetId="1" hidden="1">Transporte!$B$14</definedName>
    <definedName name="solver_lhs3" localSheetId="2" hidden="1">'Transporte-Almacen'!$B$14</definedName>
    <definedName name="solver_lhs4" localSheetId="1" hidden="1">Transporte!$B$8</definedName>
    <definedName name="solver_lhs4" localSheetId="2" hidden="1">'Transporte-Almacen'!$B$8</definedName>
    <definedName name="solver_lhs5" localSheetId="1" hidden="1">Transporte!$B$9</definedName>
    <definedName name="solver_lhs5" localSheetId="2" hidden="1">'Transporte-Almacen'!$B$9</definedName>
    <definedName name="solver_lhs6" localSheetId="2" hidden="1">'Transporte-Almacen'!$E$18:$E$20</definedName>
    <definedName name="solver_lhs7" localSheetId="2" hidden="1">'Transporte-Almacen'!$H$5</definedName>
    <definedName name="solver_lin" localSheetId="1" hidden="1">1</definedName>
    <definedName name="solver_lin" localSheetId="2" hidden="1">1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5</definedName>
    <definedName name="solver_num" localSheetId="2" hidden="1">6</definedName>
    <definedName name="solver_opt" localSheetId="1" hidden="1">Transporte!$C$25</definedName>
    <definedName name="solver_opt" localSheetId="2" hidden="1">'Transporte-Almacen'!$C$22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1</definedName>
    <definedName name="solver_rel1" localSheetId="2" hidden="1">1</definedName>
    <definedName name="solver_rel2" localSheetId="1" hidden="1">3</definedName>
    <definedName name="solver_rel2" localSheetId="2" hidden="1">3</definedName>
    <definedName name="solver_rel3" localSheetId="1" hidden="1">3</definedName>
    <definedName name="solver_rel3" localSheetId="2" hidden="1">3</definedName>
    <definedName name="solver_rel4" localSheetId="1" hidden="1">1</definedName>
    <definedName name="solver_rel4" localSheetId="2" hidden="1">1</definedName>
    <definedName name="solver_rel5" localSheetId="1" hidden="1">1</definedName>
    <definedName name="solver_rel5" localSheetId="2" hidden="1">1</definedName>
    <definedName name="solver_rel6" localSheetId="2" hidden="1">5</definedName>
    <definedName name="solver_rel7" localSheetId="2" hidden="1">3</definedName>
    <definedName name="solver_rhs1" localSheetId="1" hidden="1">Transporte!$D$10</definedName>
    <definedName name="solver_rhs1" localSheetId="2" hidden="1">'Transporte-Almacen'!$D$10</definedName>
    <definedName name="solver_rhs2" localSheetId="1" hidden="1">Transporte!$D$13</definedName>
    <definedName name="solver_rhs2" localSheetId="2" hidden="1">'Transporte-Almacen'!$D$13</definedName>
    <definedName name="solver_rhs3" localSheetId="1" hidden="1">Transporte!$D$14</definedName>
    <definedName name="solver_rhs3" localSheetId="2" hidden="1">'Transporte-Almacen'!$D$14</definedName>
    <definedName name="solver_rhs4" localSheetId="1" hidden="1">Transporte!$D$8</definedName>
    <definedName name="solver_rhs4" localSheetId="2" hidden="1">'Transporte-Almacen'!$D$8</definedName>
    <definedName name="solver_rhs5" localSheetId="1" hidden="1">Transporte!$D$9</definedName>
    <definedName name="solver_rhs5" localSheetId="2" hidden="1">'Transporte-Almacen'!$D$9</definedName>
    <definedName name="solver_rhs6" localSheetId="2" hidden="1">binario</definedName>
    <definedName name="solver_rhs7" localSheetId="2" hidden="1">'Transporte-Almacen'!#REF!</definedName>
    <definedName name="solver_rlx" localSheetId="1" hidden="1">1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B9" i="1"/>
  <c r="B8" i="1"/>
  <c r="B10" i="4"/>
  <c r="B9" i="4"/>
  <c r="B8" i="4"/>
  <c r="C22" i="4"/>
  <c r="D8" i="4"/>
  <c r="B14" i="4"/>
  <c r="B13" i="4"/>
  <c r="D10" i="4"/>
  <c r="D9" i="4"/>
  <c r="B14" i="1" l="1"/>
  <c r="B13" i="1"/>
  <c r="B10" i="1"/>
</calcChain>
</file>

<file path=xl/sharedStrings.xml><?xml version="1.0" encoding="utf-8"?>
<sst xmlns="http://schemas.openxmlformats.org/spreadsheetml/2006/main" count="97" uniqueCount="66">
  <si>
    <t>CLIENTE 1</t>
  </si>
  <si>
    <t>CLIENTE 2</t>
  </si>
  <si>
    <t>ALMACEN 1</t>
  </si>
  <si>
    <t>ALMACEN 2</t>
  </si>
  <si>
    <t>ALMACEN 3</t>
  </si>
  <si>
    <t>VARIABLES</t>
  </si>
  <si>
    <t>Y11</t>
  </si>
  <si>
    <t>Y12</t>
  </si>
  <si>
    <t>Y21</t>
  </si>
  <si>
    <t>Y22</t>
  </si>
  <si>
    <t>Y31</t>
  </si>
  <si>
    <t>Y32</t>
  </si>
  <si>
    <t>FUN. OBJ</t>
  </si>
  <si>
    <t xml:space="preserve">RESTRICCION 1 </t>
  </si>
  <si>
    <t>&lt;=</t>
  </si>
  <si>
    <t>CAPACDAD</t>
  </si>
  <si>
    <t>RESTRICCION 2</t>
  </si>
  <si>
    <t>&gt;=</t>
  </si>
  <si>
    <t>Microsoft Excel 16.16 Informe de confidencialidad</t>
  </si>
  <si>
    <t>Hoja de cálculo: [Transporte y Transporte-Almacenes.xlsx]TRANSPORTE</t>
  </si>
  <si>
    <t>Informe creado: 10/22/25 23:15:10</t>
  </si>
  <si>
    <t>Celdas de variables</t>
  </si>
  <si>
    <t>Celda</t>
  </si>
  <si>
    <t>Nombre</t>
  </si>
  <si>
    <t>Final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</si>
  <si>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</si>
  <si>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</si>
  <si>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</si>
  <si>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</si>
  <si>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</si>
  <si>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</si>
  <si>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</si>
  <si>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</si>
  <si>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Restricciones</t>
  </si>
  <si>
    <t>Sombra</t>
  </si>
  <si>
    <t>Precio</t>
  </si>
  <si>
    <t>Restricción</t>
  </si>
  <si>
    <t>Lado derecho</t>
  </si>
  <si>
    <t>$C$18</t>
  </si>
  <si>
    <t>Y11 &gt;=</t>
  </si>
  <si>
    <t>$C$19</t>
  </si>
  <si>
    <t>Y21 &gt;=</t>
  </si>
  <si>
    <t>$C$20</t>
  </si>
  <si>
    <t>Y31 &gt;=</t>
  </si>
  <si>
    <t>$C$21</t>
  </si>
  <si>
    <t>Y12 &gt;=</t>
  </si>
  <si>
    <t>$C$22</t>
  </si>
  <si>
    <t>Y22 &gt;=</t>
  </si>
  <si>
    <t>$C$23</t>
  </si>
  <si>
    <t>Y32 &gt;=</t>
  </si>
  <si>
    <t>$B$10</t>
  </si>
  <si>
    <t>$B$13</t>
  </si>
  <si>
    <t>$B$14</t>
  </si>
  <si>
    <t>$B$8</t>
  </si>
  <si>
    <t>$B$9</t>
  </si>
  <si>
    <t>$C$18:$C$23</t>
  </si>
  <si>
    <t>COSTE CONST</t>
  </si>
  <si>
    <t>DEMNADA</t>
  </si>
  <si>
    <t xml:space="preserve">BINARIAS </t>
  </si>
  <si>
    <t>FUNCION OBJETIVO</t>
  </si>
  <si>
    <t>DEMANDA</t>
  </si>
  <si>
    <t xml:space="preserve">RESTRICCION TIPO 1 </t>
  </si>
  <si>
    <t>RESTRICCIÓN TIPO 2</t>
  </si>
  <si>
    <t xml:space="preserve">RESTRICCIÓN TIPO 1 </t>
  </si>
  <si>
    <t>RESTRICCION TIPO 2</t>
  </si>
  <si>
    <t xml:space="preserve">VARIABLES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</si>
</sst>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0" borderId="0" xfId="0" applyNumberFormat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5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7" borderId="13" xfId="0" applyFill="1" applyBorder="1"/>
    <xf numFmtId="0" fontId="0" fillId="7" borderId="0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0" fillId="5" borderId="13" xfId="0" applyFill="1" applyBorder="1"/>
    <xf numFmtId="0" fontId="0" fillId="5" borderId="0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3" borderId="0" xfId="0" applyFill="1" applyBorder="1"/>
    <xf numFmtId="0" fontId="0" fillId="3" borderId="14" xfId="0" applyFill="1" applyBorder="1"/>
    <xf numFmtId="0" fontId="0" fillId="3" borderId="16" xfId="0" applyFill="1" applyBorder="1"/>
    <xf numFmtId="0" fontId="0" fillId="3" borderId="17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8" xfId="0" applyFill="1" applyBorder="1"/>
    <xf numFmtId="0" fontId="0" fillId="2" borderId="20" xfId="0" applyFill="1" applyBorder="1"/>
    <xf numFmtId="0" fontId="0" fillId="0" borderId="13" xfId="0" applyBorder="1"/>
    <xf numFmtId="0" fontId="0" fillId="0" borderId="0" xfId="0" applyBorder="1"/>
    <xf numFmtId="0" fontId="0" fillId="11" borderId="20" xfId="0" applyFill="1" applyBorder="1"/>
    <xf numFmtId="0" fontId="0" fillId="10" borderId="18" xfId="0" applyFill="1" applyBorder="1"/>
    <xf numFmtId="0" fontId="0" fillId="0" borderId="0" xfId="0" applyFill="1"/>
    <xf numFmtId="0" fontId="0" fillId="13" borderId="7" xfId="0" applyFill="1" applyBorder="1"/>
    <xf numFmtId="0" fontId="0" fillId="13" borderId="8" xfId="0" applyFill="1" applyBorder="1"/>
    <xf numFmtId="0" fontId="0" fillId="2" borderId="19" xfId="0" applyFill="1" applyBorder="1"/>
    <xf numFmtId="0" fontId="0" fillId="12" borderId="5" xfId="0" applyFill="1" applyBorder="1"/>
    <xf numFmtId="0" fontId="0" fillId="5" borderId="13" xfId="0" applyNumberFormat="1" applyFill="1" applyBorder="1"/>
    <xf numFmtId="0" fontId="0" fillId="5" borderId="15" xfId="0" applyNumberFormat="1" applyFill="1" applyBorder="1"/>
    <xf numFmtId="0" fontId="0" fillId="9" borderId="0" xfId="0" applyNumberFormat="1" applyFill="1" applyBorder="1"/>
    <xf numFmtId="0" fontId="0" fillId="9" borderId="0" xfId="0" applyFill="1" applyBorder="1"/>
    <xf numFmtId="0" fontId="0" fillId="9" borderId="16" xfId="0" applyNumberFormat="1" applyFill="1" applyBorder="1"/>
    <xf numFmtId="0" fontId="0" fillId="9" borderId="1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8" borderId="19" xfId="0" applyFill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EEC8-A50F-C64F-83BF-001233F56634}">
  <dimension ref="A1:H25"/>
  <sheetViews>
    <sheetView showGridLines="0" topLeftCell="A9" zoomScale="169" workbookViewId="0">
      <selection activeCell="L31" sqref="L31"/>
    </sheetView>
  </sheetViews>
  <sheetFormatPr baseColWidth="10" defaultRowHeight="16" outlineLevelRow="1" x14ac:dyDescent="0.2"/>
  <cols>
    <col min="1" max="1" width="2.33203125" customWidth="1"/>
    <col min="2" max="2" width="6.33203125" bestFit="1" customWidth="1"/>
    <col min="3" max="3" width="14.1640625" bestFit="1" customWidth="1"/>
    <col min="4" max="4" width="5.5" bestFit="1" customWidth="1"/>
    <col min="5" max="5" width="8.6640625" bestFit="1" customWidth="1"/>
    <col min="6" max="6" width="12" bestFit="1" customWidth="1"/>
    <col min="7" max="8" width="9.83203125" bestFit="1" customWidth="1"/>
  </cols>
  <sheetData>
    <row r="1" spans="1:8" x14ac:dyDescent="0.2">
      <c r="A1" s="1" t="s">
        <v>18</v>
      </c>
    </row>
    <row r="2" spans="1:8" x14ac:dyDescent="0.2">
      <c r="A2" s="1" t="s">
        <v>19</v>
      </c>
    </row>
    <row r="3" spans="1:8" x14ac:dyDescent="0.2">
      <c r="A3" s="1" t="s">
        <v>20</v>
      </c>
    </row>
    <row r="6" spans="1:8" ht="17" thickBot="1" x14ac:dyDescent="0.25">
      <c r="A6" t="s">
        <v>21</v>
      </c>
    </row>
    <row r="7" spans="1:8" x14ac:dyDescent="0.2">
      <c r="B7" s="5"/>
      <c r="C7" s="5"/>
      <c r="D7" s="5" t="s">
        <v>24</v>
      </c>
      <c r="E7" s="5" t="s">
        <v>26</v>
      </c>
      <c r="F7" s="5" t="s">
        <v>28</v>
      </c>
      <c r="G7" s="5" t="s">
        <v>30</v>
      </c>
      <c r="H7" s="5" t="s">
        <v>30</v>
      </c>
    </row>
    <row r="8" spans="1:8" ht="17" thickBot="1" x14ac:dyDescent="0.25">
      <c r="B8" s="6" t="s">
        <v>22</v>
      </c>
      <c r="C8" s="6" t="s">
        <v>23</v>
      </c>
      <c r="D8" s="6" t="s">
        <v>25</v>
      </c>
      <c r="E8" s="6" t="s">
        <v>27</v>
      </c>
      <c r="F8" s="6" t="s">
        <v>29</v>
      </c>
      <c r="G8" s="6" t="s">
        <v>31</v>
      </c>
      <c r="H8" s="6" t="s">
        <v>32</v>
      </c>
    </row>
    <row r="9" spans="1:8" x14ac:dyDescent="0.2">
      <c r="B9" s="8" t="s">
        <v>55</v>
      </c>
      <c r="C9" s="7"/>
      <c r="D9" s="7"/>
      <c r="E9" s="7"/>
      <c r="F9" s="7"/>
      <c r="G9" s="7"/>
      <c r="H9" s="7"/>
    </row>
    <row r="10" spans="1:8" outlineLevel="1" x14ac:dyDescent="0.2">
      <c r="B10" s="3" t="s">
        <v>38</v>
      </c>
      <c r="C10" s="3" t="s">
        <v>39</v>
      </c>
      <c r="D10" s="3">
        <v>3000</v>
      </c>
      <c r="E10" s="3">
        <v>0</v>
      </c>
      <c r="F10" s="3">
        <v>1.5</v>
      </c>
      <c r="G10" s="3">
        <v>0.5</v>
      </c>
      <c r="H10" s="3">
        <v>1.5</v>
      </c>
    </row>
    <row r="11" spans="1:8" outlineLevel="1" x14ac:dyDescent="0.2">
      <c r="B11" s="3" t="s">
        <v>40</v>
      </c>
      <c r="C11" s="3" t="s">
        <v>41</v>
      </c>
      <c r="D11" s="3">
        <v>0</v>
      </c>
      <c r="E11" s="3">
        <v>0.5</v>
      </c>
      <c r="F11" s="3">
        <v>2</v>
      </c>
      <c r="G11" s="3">
        <v>1E+30</v>
      </c>
      <c r="H11" s="3">
        <v>0.5</v>
      </c>
    </row>
    <row r="12" spans="1:8" outlineLevel="1" x14ac:dyDescent="0.2">
      <c r="B12" s="3" t="s">
        <v>42</v>
      </c>
      <c r="C12" s="3" t="s">
        <v>43</v>
      </c>
      <c r="D12" s="3">
        <v>0</v>
      </c>
      <c r="E12" s="3">
        <v>1</v>
      </c>
      <c r="F12" s="3">
        <v>2.5</v>
      </c>
      <c r="G12" s="3">
        <v>1E+30</v>
      </c>
      <c r="H12" s="3">
        <v>1</v>
      </c>
    </row>
    <row r="13" spans="1:8" outlineLevel="1" x14ac:dyDescent="0.2">
      <c r="B13" s="3" t="s">
        <v>44</v>
      </c>
      <c r="C13" s="3" t="s">
        <v>45</v>
      </c>
      <c r="D13" s="3">
        <v>0</v>
      </c>
      <c r="E13" s="3">
        <v>0.5</v>
      </c>
      <c r="F13" s="3">
        <v>2</v>
      </c>
      <c r="G13" s="3">
        <v>1E+30</v>
      </c>
      <c r="H13" s="3">
        <v>0.5</v>
      </c>
    </row>
    <row r="14" spans="1:8" outlineLevel="1" x14ac:dyDescent="0.2">
      <c r="B14" s="3" t="s">
        <v>46</v>
      </c>
      <c r="C14" s="3" t="s">
        <v>47</v>
      </c>
      <c r="D14" s="3">
        <v>5000</v>
      </c>
      <c r="E14" s="3">
        <v>0</v>
      </c>
      <c r="F14" s="3">
        <v>1.5</v>
      </c>
      <c r="G14" s="3">
        <v>0.5</v>
      </c>
      <c r="H14" s="3">
        <v>1.5</v>
      </c>
    </row>
    <row r="15" spans="1:8" ht="17" outlineLevel="1" thickBot="1" x14ac:dyDescent="0.25">
      <c r="B15" s="4" t="s">
        <v>48</v>
      </c>
      <c r="C15" s="4" t="s">
        <v>49</v>
      </c>
      <c r="D15" s="4">
        <v>0</v>
      </c>
      <c r="E15" s="4">
        <v>0.75</v>
      </c>
      <c r="F15" s="4">
        <v>2.25</v>
      </c>
      <c r="G15" s="4">
        <v>1E+30</v>
      </c>
      <c r="H15" s="4">
        <v>0.75</v>
      </c>
    </row>
    <row r="16" spans="1:8" x14ac:dyDescent="0.2">
      <c r="B16" s="2"/>
      <c r="C16" s="2"/>
      <c r="D16" s="2"/>
      <c r="E16" s="2"/>
      <c r="F16" s="2"/>
      <c r="G16" s="2"/>
      <c r="H16" s="2"/>
    </row>
    <row r="18" spans="1:8" ht="17" thickBot="1" x14ac:dyDescent="0.25">
      <c r="A18" t="s">
        <v>33</v>
      </c>
    </row>
    <row r="19" spans="1:8" x14ac:dyDescent="0.2">
      <c r="B19" s="5"/>
      <c r="C19" s="5"/>
      <c r="D19" s="5" t="s">
        <v>24</v>
      </c>
      <c r="E19" s="5" t="s">
        <v>34</v>
      </c>
      <c r="F19" s="5" t="s">
        <v>36</v>
      </c>
      <c r="G19" s="5" t="s">
        <v>30</v>
      </c>
      <c r="H19" s="5" t="s">
        <v>30</v>
      </c>
    </row>
    <row r="20" spans="1:8" ht="17" thickBot="1" x14ac:dyDescent="0.25">
      <c r="B20" s="6" t="s">
        <v>22</v>
      </c>
      <c r="C20" s="6" t="s">
        <v>23</v>
      </c>
      <c r="D20" s="6" t="s">
        <v>25</v>
      </c>
      <c r="E20" s="6" t="s">
        <v>35</v>
      </c>
      <c r="F20" s="6" t="s">
        <v>37</v>
      </c>
      <c r="G20" s="6" t="s">
        <v>31</v>
      </c>
      <c r="H20" s="6" t="s">
        <v>32</v>
      </c>
    </row>
    <row r="21" spans="1:8" x14ac:dyDescent="0.2">
      <c r="B21" s="3" t="s">
        <v>50</v>
      </c>
      <c r="C21" s="3" t="s">
        <v>13</v>
      </c>
      <c r="D21" s="3">
        <v>0</v>
      </c>
      <c r="E21" s="3">
        <v>0</v>
      </c>
      <c r="F21" s="3">
        <v>6000</v>
      </c>
      <c r="G21" s="3">
        <v>1E+30</v>
      </c>
      <c r="H21" s="3">
        <v>6000</v>
      </c>
    </row>
    <row r="22" spans="1:8" x14ac:dyDescent="0.2">
      <c r="B22" s="3" t="s">
        <v>51</v>
      </c>
      <c r="C22" s="3" t="s">
        <v>16</v>
      </c>
      <c r="D22" s="3">
        <v>3000</v>
      </c>
      <c r="E22" s="3">
        <v>1.5</v>
      </c>
      <c r="F22" s="3">
        <v>3000</v>
      </c>
      <c r="G22" s="3">
        <v>1000</v>
      </c>
      <c r="H22" s="3">
        <v>3000</v>
      </c>
    </row>
    <row r="23" spans="1:8" x14ac:dyDescent="0.2">
      <c r="B23" s="3" t="s">
        <v>52</v>
      </c>
      <c r="C23" s="3" t="s">
        <v>16</v>
      </c>
      <c r="D23" s="3">
        <v>5000</v>
      </c>
      <c r="E23" s="3">
        <v>1.5</v>
      </c>
      <c r="F23" s="3">
        <v>5000</v>
      </c>
      <c r="G23" s="3">
        <v>0</v>
      </c>
      <c r="H23" s="3">
        <v>5000</v>
      </c>
    </row>
    <row r="24" spans="1:8" x14ac:dyDescent="0.2">
      <c r="B24" s="3" t="s">
        <v>53</v>
      </c>
      <c r="C24" s="3" t="s">
        <v>13</v>
      </c>
      <c r="D24" s="3">
        <v>3000</v>
      </c>
      <c r="E24" s="3">
        <v>0</v>
      </c>
      <c r="F24" s="3">
        <v>4000</v>
      </c>
      <c r="G24" s="3">
        <v>1E+30</v>
      </c>
      <c r="H24" s="3">
        <v>1000</v>
      </c>
    </row>
    <row r="25" spans="1:8" ht="17" thickBot="1" x14ac:dyDescent="0.25">
      <c r="B25" s="4" t="s">
        <v>54</v>
      </c>
      <c r="C25" s="4" t="s">
        <v>13</v>
      </c>
      <c r="D25" s="4">
        <v>5000</v>
      </c>
      <c r="E25" s="4">
        <v>0</v>
      </c>
      <c r="F25" s="4">
        <v>5000</v>
      </c>
      <c r="G25" s="4">
        <v>1E+30</v>
      </c>
      <c r="H25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4E68-B7F4-804D-B629-D3C0DAE4C9FC}">
  <dimension ref="B1:G28"/>
  <sheetViews>
    <sheetView zoomScale="125" workbookViewId="0">
      <selection activeCell="G17" sqref="G17"/>
    </sheetView>
  </sheetViews>
  <sheetFormatPr baseColWidth="10" defaultRowHeight="16" x14ac:dyDescent="0.2"/>
  <cols>
    <col min="2" max="2" width="18.6640625" bestFit="1" customWidth="1"/>
    <col min="3" max="3" width="11.5" bestFit="1" customWidth="1"/>
    <col min="5" max="5" width="11.5" bestFit="1" customWidth="1"/>
  </cols>
  <sheetData>
    <row r="1" spans="2:7" ht="17" thickBot="1" x14ac:dyDescent="0.25">
      <c r="C1" s="47"/>
    </row>
    <row r="2" spans="2:7" ht="17" thickBot="1" x14ac:dyDescent="0.25">
      <c r="B2" s="47"/>
      <c r="C2" s="44" t="s">
        <v>0</v>
      </c>
      <c r="D2" s="45" t="s">
        <v>1</v>
      </c>
    </row>
    <row r="3" spans="2:7" x14ac:dyDescent="0.2">
      <c r="B3" s="41" t="s">
        <v>2</v>
      </c>
      <c r="C3" s="37">
        <v>1.5</v>
      </c>
      <c r="D3" s="38">
        <v>2</v>
      </c>
    </row>
    <row r="4" spans="2:7" x14ac:dyDescent="0.2">
      <c r="B4" s="42" t="s">
        <v>3</v>
      </c>
      <c r="C4" s="37">
        <v>2</v>
      </c>
      <c r="D4" s="38">
        <v>1.5</v>
      </c>
    </row>
    <row r="5" spans="2:7" ht="17" thickBot="1" x14ac:dyDescent="0.25">
      <c r="B5" s="43" t="s">
        <v>4</v>
      </c>
      <c r="C5" s="39">
        <v>2.5</v>
      </c>
      <c r="D5" s="40">
        <v>2.25</v>
      </c>
    </row>
    <row r="6" spans="2:7" ht="17" thickBot="1" x14ac:dyDescent="0.25"/>
    <row r="7" spans="2:7" ht="17" thickBot="1" x14ac:dyDescent="0.25">
      <c r="B7" s="31" t="s">
        <v>63</v>
      </c>
      <c r="C7" s="32"/>
      <c r="D7" s="33" t="s">
        <v>15</v>
      </c>
    </row>
    <row r="8" spans="2:7" x14ac:dyDescent="0.2">
      <c r="B8" s="25">
        <f>SUM(C18,C21)</f>
        <v>3000</v>
      </c>
      <c r="C8" s="26" t="s">
        <v>14</v>
      </c>
      <c r="D8" s="27">
        <v>4000</v>
      </c>
    </row>
    <row r="9" spans="2:7" x14ac:dyDescent="0.2">
      <c r="B9" s="25">
        <f>SUM(C19,C22)</f>
        <v>5000</v>
      </c>
      <c r="C9" s="26" t="s">
        <v>14</v>
      </c>
      <c r="D9" s="27">
        <v>5000</v>
      </c>
    </row>
    <row r="10" spans="2:7" ht="17" thickBot="1" x14ac:dyDescent="0.25">
      <c r="B10" s="28">
        <f>SUM(C20,C23)</f>
        <v>0</v>
      </c>
      <c r="C10" s="29" t="s">
        <v>14</v>
      </c>
      <c r="D10" s="30">
        <v>6000</v>
      </c>
    </row>
    <row r="11" spans="2:7" ht="17" thickBot="1" x14ac:dyDescent="0.25"/>
    <row r="12" spans="2:7" ht="17" thickBot="1" x14ac:dyDescent="0.25">
      <c r="B12" s="34" t="s">
        <v>62</v>
      </c>
      <c r="C12" s="35"/>
      <c r="D12" s="36" t="s">
        <v>60</v>
      </c>
    </row>
    <row r="13" spans="2:7" x14ac:dyDescent="0.2">
      <c r="B13" s="19">
        <f>SUM(C18:C20)</f>
        <v>3000</v>
      </c>
      <c r="C13" s="20" t="s">
        <v>17</v>
      </c>
      <c r="D13" s="21">
        <v>3000</v>
      </c>
    </row>
    <row r="14" spans="2:7" ht="17" thickBot="1" x14ac:dyDescent="0.25">
      <c r="B14" s="22">
        <f>SUM(C21:C23)</f>
        <v>5000</v>
      </c>
      <c r="C14" s="23" t="s">
        <v>17</v>
      </c>
      <c r="D14" s="24">
        <v>5000</v>
      </c>
      <c r="G14" s="47"/>
    </row>
    <row r="16" spans="2:7" ht="17" thickBot="1" x14ac:dyDescent="0.25"/>
    <row r="17" spans="2:6" ht="17" thickBot="1" x14ac:dyDescent="0.25">
      <c r="B17" s="15" t="s">
        <v>5</v>
      </c>
      <c r="E17" s="47"/>
    </row>
    <row r="18" spans="2:6" x14ac:dyDescent="0.2">
      <c r="B18" s="12" t="s">
        <v>6</v>
      </c>
      <c r="C18" s="16">
        <v>3000</v>
      </c>
      <c r="D18" s="46"/>
      <c r="E18" s="47"/>
    </row>
    <row r="19" spans="2:6" x14ac:dyDescent="0.2">
      <c r="B19" s="13" t="s">
        <v>8</v>
      </c>
      <c r="C19" s="17">
        <v>0</v>
      </c>
    </row>
    <row r="20" spans="2:6" x14ac:dyDescent="0.2">
      <c r="B20" s="13" t="s">
        <v>10</v>
      </c>
      <c r="C20" s="17">
        <v>0</v>
      </c>
    </row>
    <row r="21" spans="2:6" x14ac:dyDescent="0.2">
      <c r="B21" s="13" t="s">
        <v>7</v>
      </c>
      <c r="C21" s="17">
        <v>0</v>
      </c>
    </row>
    <row r="22" spans="2:6" x14ac:dyDescent="0.2">
      <c r="B22" s="13" t="s">
        <v>9</v>
      </c>
      <c r="C22" s="17">
        <v>5000</v>
      </c>
      <c r="F22" s="47"/>
    </row>
    <row r="23" spans="2:6" ht="17" thickBot="1" x14ac:dyDescent="0.25">
      <c r="B23" s="14" t="s">
        <v>11</v>
      </c>
      <c r="C23" s="18">
        <v>0</v>
      </c>
    </row>
    <row r="24" spans="2:6" ht="17" thickBot="1" x14ac:dyDescent="0.25"/>
    <row r="25" spans="2:6" ht="17" thickBot="1" x14ac:dyDescent="0.25">
      <c r="B25" s="49" t="s">
        <v>12</v>
      </c>
      <c r="C25" s="48">
        <f>SUMPRODUCT(C18:C20,C3:C5) +SUMPRODUCT(C21:C23,D3:D5)</f>
        <v>12000</v>
      </c>
    </row>
    <row r="27" spans="2:6" x14ac:dyDescent="0.2">
      <c r="C27" s="47"/>
    </row>
    <row r="28" spans="2:6" x14ac:dyDescent="0.2">
      <c r="C28" s="47"/>
    </row>
  </sheetData>
  <scenarios current="0" show="0">
    <scenario name="Transporte" count="6" user="Usuario de Microsoft Office" comment="Creado por Usuario de Microsoft Office el 10/22/2025">
      <inputCells r="C18" val="3000"/>
      <inputCells r="C19" val="0"/>
      <inputCells r="C20" val="0"/>
      <inputCells r="C21" val="0"/>
      <inputCells r="C22" val="5000"/>
      <inputCells r="C23" val="0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BE11-6149-ED43-9B2A-06CAAF8EB169}">
  <dimension ref="A1:I29"/>
  <sheetViews>
    <sheetView showGridLines="0" tabSelected="1" zoomScale="116" workbookViewId="0">
      <selection activeCell="H22" sqref="H22"/>
    </sheetView>
  </sheetViews>
  <sheetFormatPr baseColWidth="10" defaultRowHeight="16" x14ac:dyDescent="0.2"/>
  <cols>
    <col min="1" max="1" width="3.1640625" customWidth="1"/>
    <col min="2" max="2" width="21" bestFit="1" customWidth="1"/>
    <col min="6" max="6" width="12.6640625" bestFit="1" customWidth="1"/>
  </cols>
  <sheetData>
    <row r="1" spans="2:9" ht="17" thickBot="1" x14ac:dyDescent="0.25">
      <c r="C1" s="47"/>
    </row>
    <row r="2" spans="2:9" ht="17" thickBot="1" x14ac:dyDescent="0.25">
      <c r="B2" s="47"/>
      <c r="C2" s="47"/>
      <c r="D2" s="44" t="s">
        <v>0</v>
      </c>
      <c r="E2" s="53" t="s">
        <v>1</v>
      </c>
      <c r="F2" s="54" t="s">
        <v>56</v>
      </c>
    </row>
    <row r="3" spans="2:9" x14ac:dyDescent="0.2">
      <c r="C3" s="41" t="s">
        <v>2</v>
      </c>
      <c r="D3" s="37">
        <v>1.5</v>
      </c>
      <c r="E3" s="37">
        <v>2</v>
      </c>
      <c r="F3" s="51">
        <v>8000</v>
      </c>
    </row>
    <row r="4" spans="2:9" x14ac:dyDescent="0.2">
      <c r="C4" s="42" t="s">
        <v>3</v>
      </c>
      <c r="D4" s="37">
        <v>2</v>
      </c>
      <c r="E4" s="37">
        <v>1.5</v>
      </c>
      <c r="F4" s="51">
        <v>12000</v>
      </c>
    </row>
    <row r="5" spans="2:9" ht="17" thickBot="1" x14ac:dyDescent="0.25">
      <c r="C5" s="43" t="s">
        <v>4</v>
      </c>
      <c r="D5" s="39">
        <v>2.5</v>
      </c>
      <c r="E5" s="39">
        <v>2.25</v>
      </c>
      <c r="F5" s="52">
        <v>7000</v>
      </c>
    </row>
    <row r="6" spans="2:9" ht="17" thickBot="1" x14ac:dyDescent="0.25"/>
    <row r="7" spans="2:9" ht="17" thickBot="1" x14ac:dyDescent="0.25">
      <c r="B7" s="31" t="s">
        <v>61</v>
      </c>
      <c r="C7" s="32"/>
      <c r="D7" s="32"/>
      <c r="E7" s="32"/>
      <c r="F7" s="33" t="s">
        <v>15</v>
      </c>
    </row>
    <row r="8" spans="2:9" x14ac:dyDescent="0.2">
      <c r="B8" s="55">
        <f>SUM(C18:D18)</f>
        <v>4000.0000000000009</v>
      </c>
      <c r="C8" s="26" t="s">
        <v>14</v>
      </c>
      <c r="D8" s="26">
        <f>F8*E18</f>
        <v>4000</v>
      </c>
      <c r="E8" s="26"/>
      <c r="F8" s="27">
        <v>4000</v>
      </c>
    </row>
    <row r="9" spans="2:9" x14ac:dyDescent="0.2">
      <c r="B9" s="55">
        <f>SUM(C19:D19)</f>
        <v>0</v>
      </c>
      <c r="C9" s="26" t="s">
        <v>14</v>
      </c>
      <c r="D9" s="26">
        <f>F9*E19</f>
        <v>0</v>
      </c>
      <c r="E9" s="26"/>
      <c r="F9" s="27">
        <v>5000</v>
      </c>
    </row>
    <row r="10" spans="2:9" ht="17" thickBot="1" x14ac:dyDescent="0.25">
      <c r="B10" s="56">
        <f>SUM(C20:D20)</f>
        <v>3999.9999999999991</v>
      </c>
      <c r="C10" s="29" t="s">
        <v>14</v>
      </c>
      <c r="D10" s="29">
        <f>F10*E20</f>
        <v>6000</v>
      </c>
      <c r="E10" s="29"/>
      <c r="F10" s="30">
        <v>6000</v>
      </c>
    </row>
    <row r="11" spans="2:9" ht="17" thickBot="1" x14ac:dyDescent="0.25"/>
    <row r="12" spans="2:9" ht="17" thickBot="1" x14ac:dyDescent="0.25">
      <c r="B12" s="34" t="s">
        <v>64</v>
      </c>
      <c r="C12" s="35"/>
      <c r="D12" s="36" t="s">
        <v>57</v>
      </c>
    </row>
    <row r="13" spans="2:9" x14ac:dyDescent="0.2">
      <c r="B13" s="19">
        <f>SUM(C18:C20)</f>
        <v>3000</v>
      </c>
      <c r="C13" s="20" t="s">
        <v>17</v>
      </c>
      <c r="D13" s="21">
        <v>3000</v>
      </c>
    </row>
    <row r="14" spans="2:9" ht="17" thickBot="1" x14ac:dyDescent="0.25">
      <c r="B14" s="22">
        <f>SUM(D18:D20)</f>
        <v>5000</v>
      </c>
      <c r="C14" s="23" t="s">
        <v>17</v>
      </c>
      <c r="D14" s="24">
        <v>5000</v>
      </c>
      <c r="I14" s="47"/>
    </row>
    <row r="15" spans="2:9" x14ac:dyDescent="0.2">
      <c r="G15" s="47"/>
    </row>
    <row r="16" spans="2:9" ht="17" thickBot="1" x14ac:dyDescent="0.25">
      <c r="H16" s="47"/>
    </row>
    <row r="17" spans="1:5" ht="17" thickBot="1" x14ac:dyDescent="0.25">
      <c r="A17" s="50"/>
      <c r="B17" s="15" t="s">
        <v>65</v>
      </c>
      <c r="C17" s="63" t="s">
        <v>0</v>
      </c>
      <c r="D17" s="63" t="s">
        <v>1</v>
      </c>
      <c r="E17" s="15" t="s">
        <v>58</v>
      </c>
    </row>
    <row r="18" spans="1:5" x14ac:dyDescent="0.2">
      <c r="B18" s="10" t="s">
        <v>2</v>
      </c>
      <c r="C18" s="57">
        <v>3000</v>
      </c>
      <c r="D18" s="58">
        <v>1000.0000000000009</v>
      </c>
      <c r="E18" s="61">
        <v>1</v>
      </c>
    </row>
    <row r="19" spans="1:5" x14ac:dyDescent="0.2">
      <c r="B19" s="10" t="s">
        <v>3</v>
      </c>
      <c r="C19" s="57">
        <v>0</v>
      </c>
      <c r="D19" s="58">
        <v>0</v>
      </c>
      <c r="E19" s="61">
        <v>0</v>
      </c>
    </row>
    <row r="20" spans="1:5" ht="17" thickBot="1" x14ac:dyDescent="0.25">
      <c r="B20" s="11" t="s">
        <v>4</v>
      </c>
      <c r="C20" s="59">
        <v>0</v>
      </c>
      <c r="D20" s="60">
        <v>3999.9999999999991</v>
      </c>
      <c r="E20" s="62">
        <v>1</v>
      </c>
    </row>
    <row r="21" spans="1:5" ht="17" thickBot="1" x14ac:dyDescent="0.25">
      <c r="C21" s="9"/>
      <c r="D21" s="64"/>
      <c r="E21" s="64"/>
    </row>
    <row r="22" spans="1:5" ht="17" thickBot="1" x14ac:dyDescent="0.25">
      <c r="B22" s="49" t="s">
        <v>59</v>
      </c>
      <c r="C22" s="48">
        <f>SUMPRODUCT(C18:D20,D3:E5) +SUMPRODUCT(F3:F5,E18:E20)</f>
        <v>30500</v>
      </c>
      <c r="D22" s="47"/>
    </row>
    <row r="23" spans="1:5" x14ac:dyDescent="0.2">
      <c r="C23" s="9"/>
    </row>
    <row r="24" spans="1:5" x14ac:dyDescent="0.2">
      <c r="C24" s="9"/>
    </row>
    <row r="25" spans="1:5" x14ac:dyDescent="0.2">
      <c r="C25" s="9"/>
    </row>
    <row r="26" spans="1:5" x14ac:dyDescent="0.2">
      <c r="C26" s="9"/>
    </row>
    <row r="27" spans="1:5" x14ac:dyDescent="0.2">
      <c r="C27" s="9"/>
    </row>
    <row r="28" spans="1:5" x14ac:dyDescent="0.2">
      <c r="C28" s="9"/>
    </row>
    <row r="29" spans="1:5" x14ac:dyDescent="0.2">
      <c r="C2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Sensibilidad Transpote</vt:lpstr>
      <vt:lpstr>Transporte</vt:lpstr>
      <vt:lpstr>Transporte-Almacen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2025-10-22T20:22:37Z</dcterms:created>
  <dcterms:modified xsi:type="dcterms:W3CDTF">2025-10-28T23:15:04Z</dcterms:modified>
</cp:coreProperties>
</file>